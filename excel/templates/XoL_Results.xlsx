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Reinsurance Structures" sheetId="4" state="visible" r:id="rId4"/>
    <sheet xmlns:r="http://schemas.openxmlformats.org/officeDocument/2006/relationships" name="Cedant Impact" sheetId="5" state="visible" r:id="rId5"/>
    <sheet xmlns:r="http://schemas.openxmlformats.org/officeDocument/2006/relationships" name="Expiring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out_params" sheetId="8" state="visible" r:id="rId8"/>
    <sheet xmlns:r="http://schemas.openxmlformats.org/officeDocument/2006/relationships" name="out_loadings" sheetId="9" state="visible" r:id="rId9"/>
    <sheet xmlns:r="http://schemas.openxmlformats.org/officeDocument/2006/relationships" name="out_run_log" sheetId="10" state="visible" r:id="rId10"/>
    <sheet xmlns:r="http://schemas.openxmlformats.org/officeDocument/2006/relationships" name="out_warnings" sheetId="11" state="visible" r:id="rId11"/>
    <sheet xmlns:r="http://schemas.openxmlformats.org/officeDocument/2006/relationships" name="out_recon" sheetId="12" state="visible" r:id="rId12"/>
    <sheet xmlns:r="http://schemas.openxmlformats.org/officeDocument/2006/relationships" name="out_completion_indicated" sheetId="13" state="visible" r:id="rId13"/>
    <sheet xmlns:r="http://schemas.openxmlformats.org/officeDocument/2006/relationships" name="out_bc_summary" sheetId="14" state="visible" r:id="rId14"/>
    <sheet xmlns:r="http://schemas.openxmlformats.org/officeDocument/2006/relationships" name="out_bc_by_year" sheetId="15" state="visible" r:id="rId15"/>
    <sheet xmlns:r="http://schemas.openxmlformats.org/officeDocument/2006/relationships" name="out_annualisation" sheetId="16" state="visible" r:id="rId16"/>
    <sheet xmlns:r="http://schemas.openxmlformats.org/officeDocument/2006/relationships" name="out_large_claims" sheetId="17" state="visible" r:id="rId17"/>
    <sheet xmlns:r="http://schemas.openxmlformats.org/officeDocument/2006/relationships" name="out_fit" sheetId="18" state="visible" r:id="rId18"/>
    <sheet xmlns:r="http://schemas.openxmlformats.org/officeDocument/2006/relationships" name="out_sim_summary" sheetId="19" state="visible" r:id="rId19"/>
    <sheet xmlns:r="http://schemas.openxmlformats.org/officeDocument/2006/relationships" name="out_sim_quantiles" sheetId="20" state="visible" r:id="rId20"/>
    <sheet xmlns:r="http://schemas.openxmlformats.org/officeDocument/2006/relationships" name="out_ev_events" sheetId="21" state="visible" r:id="rId21"/>
    <sheet xmlns:r="http://schemas.openxmlformats.org/officeDocument/2006/relationships" name="out_ev_bc_by_year" sheetId="22" state="visible" r:id="rId22"/>
    <sheet xmlns:r="http://schemas.openxmlformats.org/officeDocument/2006/relationships" name="out_ev_bc_summary" sheetId="23" state="visible" r:id="rId23"/>
    <sheet xmlns:r="http://schemas.openxmlformats.org/officeDocument/2006/relationships" name="out_ev_scenarios" sheetId="24" state="visible" r:id="rId24"/>
    <sheet xmlns:r="http://schemas.openxmlformats.org/officeDocument/2006/relationships" name="out_ev_sim_summary" sheetId="25" state="visible" r:id="rId25"/>
    <sheet xmlns:r="http://schemas.openxmlformats.org/officeDocument/2006/relationships" name="out_ev_sim_quantiles" sheetId="26" state="visible" r:id="rId26"/>
    <sheet xmlns:r="http://schemas.openxmlformats.org/officeDocument/2006/relationships" name="out_attritional_by_year" sheetId="27" state="visible" r:id="rId27"/>
    <sheet xmlns:r="http://schemas.openxmlformats.org/officeDocument/2006/relationships" name="out_gross_summary" sheetId="28" state="visible" r:id="rId28"/>
    <sheet xmlns:r="http://schemas.openxmlformats.org/officeDocument/2006/relationships" name="out_struct_summary" sheetId="29" state="visible" r:id="rId29"/>
    <sheet xmlns:r="http://schemas.openxmlformats.org/officeDocument/2006/relationships" name="out_struct_quantiles" sheetId="30" state="visible" r:id="rId30"/>
    <sheet xmlns:r="http://schemas.openxmlformats.org/officeDocument/2006/relationships" name="out_exposed_lives" sheetId="31" state="visible" r:id="rId31"/>
    <sheet xmlns:r="http://schemas.openxmlformats.org/officeDocument/2006/relationships" name="out_expiring" sheetId="32" state="visible" r:id="rId32"/>
    <sheet xmlns:r="http://schemas.openxmlformats.org/officeDocument/2006/relationships" name="out_asif_by_year" sheetId="33" state="visible" r:id="rId33"/>
    <sheet xmlns:r="http://schemas.openxmlformats.org/officeDocument/2006/relationships" name="scn_summary" sheetId="34" state="visible" r:id="rId34"/>
  </sheets>
  <definedNames>
    <definedName name="pa_cedant">INDEX(INDIRECT("'out_params'!$A$2:$BZ$60000"),0,MATCH("cedant",INDIRECT("'out_params'!$A$1:$BZ$1"),0))</definedName>
    <definedName name="pa_country">INDEX(INDIRECT("'out_params'!$A$2:$BZ$60000"),0,MATCH("country",INDIRECT("'out_params'!$A$1:$BZ$1"),0))</definedName>
    <definedName name="pa_line">INDEX(INDIRECT("'out_params'!$A$2:$BZ$60000"),0,MATCH("line",INDIRECT("'out_params'!$A$1:$BZ$1"),0))</definedName>
    <definedName name="pa_quote_ccy">INDEX(INDIRECT("'out_params'!$A$2:$BZ$60000"),0,MATCH("quote_ccy",INDIRECT("'out_params'!$A$1:$BZ$1"),0))</definedName>
    <definedName name="pa_fx_quote_to_usd">INDEX(INDIRECT("'out_params'!$A$2:$BZ$60000"),0,MATCH("fx_quote_to_usd",INDIRECT("'out_params'!$A$1:$BZ$1"),0))</definedName>
    <definedName name="pa_treaty_start">INDEX(INDIRECT("'out_params'!$A$2:$BZ$60000"),0,MATCH("treaty_start",INDIRECT("'out_params'!$A$1:$BZ$1"),0))</definedName>
    <definedName name="pa_quote_year">INDEX(INDIRECT("'out_params'!$A$2:$BZ$60000"),0,MATCH("quote_year",INDIRECT("'out_params'!$A$1:$BZ$1"),0))</definedName>
    <definedName name="pa_run_label">INDEX(INDIRECT("'out_params'!$A$2:$BZ$60000"),0,MATCH("run_label",INDIRECT("'out_params'!$A$1:$BZ$1"),0))</definedName>
    <definedName name="pa_scenario_id">INDEX(INDIRECT("'out_params'!$A$2:$BZ$60000"),0,MATCH("scenario_id",INDIRECT("'out_params'!$A$1:$BZ$1"),0))</definedName>
    <definedName name="pa_source_mode">INDEX(INDIRECT("'out_params'!$A$2:$BZ$60000"),0,MATCH("source_mode",INDIRECT("'out_params'!$A$1:$BZ$1"),0))</definedName>
    <definedName name="pa_premium_basis">INDEX(INDIRECT("'out_params'!$A$2:$BZ$60000"),0,MATCH("premium_basis",INDIRECT("'out_params'!$A$1:$BZ$1"),0))</definedName>
    <definedName name="pa_segment_field">INDEX(INDIRECT("'out_params'!$A$2:$BZ$60000"),0,MATCH("segment_field",INDIRECT("'out_params'!$A$1:$BZ$1"),0))</definedName>
    <definedName name="pa_ete_tpa_filter">INDEX(INDIRECT("'out_params'!$A$2:$BZ$60000"),0,MATCH("ete_tpa_filter",INDIRECT("'out_params'!$A$1:$BZ$1"),0))</definedName>
    <definedName name="pa_treaty_basis">INDEX(INDIRECT("'out_params'!$A$2:$BZ$60000"),0,MATCH("treaty_basis",INDIRECT("'out_params'!$A$1:$BZ$1"),0))</definedName>
    <definedName name="pa_claims_trigger">INDEX(INDIRECT("'out_params'!$A$2:$BZ$60000"),0,MATCH("claims_trigger",INDIRECT("'out_params'!$A$1:$BZ$1"),0))</definedName>
    <definedName name="pa_paid_runoff_months">INDEX(INDIRECT("'out_params'!$A$2:$BZ$60000"),0,MATCH("paid_runoff_months",INDIRECT("'out_params'!$A$1:$BZ$1"),0))</definedName>
    <definedName name="pa_pp_accumulation">INDEX(INDIRECT("'out_params'!$A$2:$BZ$60000"),0,MATCH("pp_accumulation",INDIRECT("'out_params'!$A$1:$BZ$1"),0))</definedName>
    <definedName name="pa_epi_quote_year">INDEX(INDIRECT("'out_params'!$A$2:$BZ$60000"),0,MATCH("epi_quote_year",INDIRECT("'out_params'!$A$1:$BZ$1"),0))</definedName>
    <definedName name="pa_expected_lives_quote_year">INDEX(INDIRECT("'out_params'!$A$2:$BZ$60000"),0,MATCH("expected_lives_quote_year",INDIRECT("'out_params'!$A$1:$BZ$1"),0))</definedName>
    <definedName name="pa_years_included">INDEX(INDIRECT("'out_params'!$A$2:$BZ$60000"),0,MATCH("years_included",INDIRECT("'out_params'!$A$1:$BZ$1"),0))</definedName>
    <definedName name="pa_output_threshold_pct_min_ap">INDEX(INDIRECT("'out_params'!$A$2:$BZ$60000"),0,MATCH("output_threshold_pct_min_ap",INDIRECT("'out_params'!$A$1:$BZ$1"),0))</definedName>
    <definedName name="pa_policy_limit">INDEX(INDIRECT("'out_params'!$A$2:$BZ$60000"),0,MATCH("policy_limit",INDIRECT("'out_params'!$A$1:$BZ$1"),0))</definedName>
    <definedName name="pa_outlier_method">INDEX(INDIRECT("'out_params'!$A$2:$BZ$60000"),0,MATCH("outlier_method",INDIRECT("'out_params'!$A$1:$BZ$1"),0))</definedName>
    <definedName name="pa_outlier_value">INDEX(INDIRECT("'out_params'!$A$2:$BZ$60000"),0,MATCH("outlier_value",INDIRECT("'out_params'!$A$1:$BZ$1"),0))</definedName>
    <definedName name="pa_iqr_multiplier">INDEX(INDIRECT("'out_params'!$A$2:$BZ$60000"),0,MATCH("iqr_multiplier",INDIRECT("'out_params'!$A$1:$BZ$1"),0))</definedName>
    <definedName name="pa_full_cred_n">INDEX(INDIRECT("'out_params'!$A$2:$BZ$60000"),0,MATCH("full_cred_n",INDIRECT("'out_params'!$A$1:$BZ$1"),0))</definedName>
    <definedName name="pa_complement_source">INDEX(INDIRECT("'out_params'!$A$2:$BZ$60000"),0,MATCH("complement_source",INDIRECT("'out_params'!$A$1:$BZ$1"),0))</definedName>
    <definedName name="pa_benchmark_rate">INDEX(INDIRECT("'out_params'!$A$2:$BZ$60000"),0,MATCH("benchmark_rate",INDIRECT("'out_params'!$A$1:$BZ$1"),0))</definedName>
    <definedName name="pa_incidence_adj">INDEX(INDIRECT("'out_params'!$A$2:$BZ$60000"),0,MATCH("incidence_adj",INDIRECT("'out_params'!$A$1:$BZ$1"),0))</definedName>
    <definedName name="pa_qs_cedant_retention_pct">INDEX(INDIRECT("'out_params'!$A$2:$BZ$60000"),0,MATCH("qs_cedant_retention_pct",INDIRECT("'out_params'!$A$1:$BZ$1"),0))</definedName>
    <definedName name="pa_evaluate_mode">INDEX(INDIRECT("'out_params'!$A$2:$BZ$60000"),0,MATCH("evaluate_mode",INDIRECT("'out_params'!$A$1:$BZ$1"),0))</definedName>
    <definedName name="pa_iterations">INDEX(INDIRECT("'out_params'!$A$2:$BZ$60000"),0,MATCH("iterations",INDIRECT("'out_params'!$A$1:$BZ$1"),0))</definedName>
    <definedName name="pa_seed">INDEX(INDIRECT("'out_params'!$A$2:$BZ$60000"),0,MATCH("seed",INDIRECT("'out_params'!$A$1:$BZ$1"),0))</definedName>
    <definedName name="pa_fit_cutoff">INDEX(INDIRECT("'out_params'!$A$2:$BZ$60000"),0,MATCH("fit_cutoff",INDIRECT("'out_params'!$A$1:$BZ$1"),0))</definedName>
    <definedName name="pa_fit_candidates">INDEX(INDIRECT("'out_params'!$A$2:$BZ$60000"),0,MATCH("fit_candidates",INDIRECT("'out_params'!$A$1:$BZ$1"),0))</definedName>
    <definedName name="pa_freq_model">INDEX(INDIRECT("'out_params'!$A$2:$BZ$60000"),0,MATCH("freq_model",INDIRECT("'out_params'!$A$1:$BZ$1"),0))</definedName>
    <definedName name="pa_ev_freq_source">INDEX(INDIRECT("'out_params'!$A$2:$BZ$60000"),0,MATCH("ev_freq_source",INDIRECT("'out_params'!$A$1:$BZ$1"),0))</definedName>
    <definedName name="pa_sl_attritional_threshold">INDEX(INDIRECT("'out_params'!$A$2:$BZ$60000"),0,MATCH("sl_attritional_threshold",INDIRECT("'out_params'!$A$1:$BZ$1"),0))</definedName>
    <definedName name="pa_sl_cov_floor">INDEX(INDIRECT("'out_params'!$A$2:$BZ$60000"),0,MATCH("sl_cov_floor",INDIRECT("'out_params'!$A$1:$BZ$1"),0))</definedName>
    <definedName name="pa_sl_attritional_dist">INDEX(INDIRECT("'out_params'!$A$2:$BZ$60000"),0,MATCH("sl_attritional_dist",INDIRECT("'out_params'!$A$1:$BZ$1"),0))</definedName>
    <definedName name="pa_net_claims_budget">INDEX(INDIRECT("'out_params'!$A$2:$BZ$60000"),0,MATCH("net_claims_budget",INDIRECT("'out_params'!$A$1:$BZ$1"),0))</definedName>
    <definedName name="pa_reference_lives">INDEX(INDIRECT("'out_params'!$A$2:$BZ$60000"),0,MATCH("reference_lives",INDIRECT("'out_params'!$A$1:$BZ$1"),0))</definedName>
    <definedName name="pa_return_periods">INDEX(INDIRECT("'out_params'!$A$2:$BZ$60000"),0,MATCH("return_periods",INDIRECT("'out_params'!$A$1:$BZ$1"),0))</definedName>
    <definedName name="pa_currency_display">INDEX(INDIRECT("'out_params'!$A$2:$BZ$60000"),0,MATCH("currency_display",INDIRECT("'out_params'!$A$1:$BZ$1"),0))</definedName>
    <definedName name="lo_cover">INDEX(INDIRECT("'out_loadings'!$A$2:$BZ$60000"),0,MATCH("cover",INDIRECT("'out_loadings'!$A$1:$BZ$1"),0))</definedName>
    <definedName name="lo_reinsurer_expense_pct">INDEX(INDIRECT("'out_loadings'!$A$2:$BZ$60000"),0,MATCH("reinsurer_expense_pct",INDIRECT("'out_loadings'!$A$1:$BZ$1"),0))</definedName>
    <definedName name="lo_brokerage_pct">INDEX(INDIRECT("'out_loadings'!$A$2:$BZ$60000"),0,MATCH("brokerage_pct",INDIRECT("'out_loadings'!$A$1:$BZ$1"),0))</definedName>
    <definedName name="lo_profit_margin_pct">INDEX(INDIRECT("'out_loadings'!$A$2:$BZ$60000"),0,MATCH("profit_margin_pct",INDIRECT("'out_loadings'!$A$1:$BZ$1"),0))</definedName>
    <definedName name="lo_premium_tax_pct">INDEX(INDIRECT("'out_loadings'!$A$2:$BZ$60000"),0,MATCH("premium_tax_pct",INDIRECT("'out_loadings'!$A$1:$BZ$1"),0))</definedName>
    <definedName name="lo_risk_load_k">INDEX(INDIRECT("'out_loadings'!$A$2:$BZ$60000"),0,MATCH("risk_load_k",INDIRECT("'out_loadings'!$A$1:$BZ$1"),0))</definedName>
    <definedName name="rl_item">INDEX(INDIRECT("'out_run_log'!$A$2:$BZ$60000"),0,MATCH("item",INDIRECT("'out_run_log'!$A$1:$BZ$1"),0))</definedName>
    <definedName name="rl_value">INDEX(INDIRECT("'out_run_log'!$A$2:$BZ$60000"),0,MATCH("value",INDIRECT("'out_run_log'!$A$1:$BZ$1"),0))</definedName>
    <definedName name="rl_justification">INDEX(INDIRECT("'out_run_log'!$A$2:$BZ$60000"),0,MATCH("justification",INDIRECT("'out_run_log'!$A$1:$BZ$1"),0))</definedName>
    <definedName name="bs_option_id">INDEX(INDIRECT("'out_bc_summary'!$A$2:$BZ$60000"),0,MATCH("option_id",INDIRECT("'out_bc_summary'!$A$1:$BZ$1"),0))</definedName>
    <definedName name="bs_layer">INDEX(INDIRECT("'out_bc_summary'!$A$2:$BZ$60000"),0,MATCH("layer",INDIRECT("'out_bc_summary'!$A$1:$BZ$1"),0))</definedName>
    <definedName name="bs_l_label">INDEX(INDIRECT("'out_bc_summary'!$A$2:$BZ$60000"),0,MATCH("l_label",INDIRECT("'out_bc_summary'!$A$1:$BZ$1"),0))</definedName>
    <definedName name="bs_lim_basis">INDEX(INDIRECT("'out_bc_summary'!$A$2:$BZ$60000"),0,MATCH("lim_basis",INDIRECT("'out_bc_summary'!$A$1:$BZ$1"),0))</definedName>
    <definedName name="bs_ap">INDEX(INDIRECT("'out_bc_summary'!$A$2:$BZ$60000"),0,MATCH("ap",INDIRECT("'out_bc_summary'!$A$1:$BZ$1"),0))</definedName>
    <definedName name="bs_limit">INDEX(INDIRECT("'out_bc_summary'!$A$2:$BZ$60000"),0,MATCH("limit",INDIRECT("'out_bc_summary'!$A$1:$BZ$1"),0))</definedName>
    <definedName name="bs_aad">INDEX(INDIRECT("'out_bc_summary'!$A$2:$BZ$60000"),0,MATCH("aad",INDIRECT("'out_bc_summary'!$A$1:$BZ$1"),0))</definedName>
    <definedName name="bs_aal">INDEX(INDIRECT("'out_bc_summary'!$A$2:$BZ$60000"),0,MATCH("aal",INDIRECT("'out_bc_summary'!$A$1:$BZ$1"),0))</definedName>
    <definedName name="bs_cop">INDEX(INDIRECT("'out_bc_summary'!$A$2:$BZ$60000"),0,MATCH("cop",INDIRECT("'out_bc_summary'!$A$1:$BZ$1"),0))</definedName>
    <definedName name="bs_n_years">INDEX(INDIRECT("'out_bc_summary'!$A$2:$BZ$60000"),0,MATCH("n_years",INDIRECT("'out_bc_summary'!$A$1:$BZ$1"),0))</definedName>
    <definedName name="bs_n_xl_claims">INDEX(INDIRECT("'out_bc_summary'!$A$2:$BZ$60000"),0,MATCH("n_xl_claims",INDIRECT("'out_bc_summary'!$A$1:$BZ$1"),0))</definedName>
    <definedName name="bs_credibility_z">INDEX(INDIRECT("'out_bc_summary'!$A$2:$BZ$60000"),0,MATCH("credibility_z",INDIRECT("'out_bc_summary'!$A$1:$BZ$1"),0))</definedName>
    <definedName name="bs_bc_pppy_weighted_non">INDEX(INDIRECT("'out_bc_summary'!$A$2:$BZ$60000"),0,MATCH("bc_pppy_weighted_non",INDIRECT("'out_bc_summary'!$A$1:$BZ$1"),0))</definedName>
    <definedName name="bs_bc_pppy_outlier">INDEX(INDIRECT("'out_bc_summary'!$A$2:$BZ$60000"),0,MATCH("bc_pppy_outlier",INDIRECT("'out_bc_summary'!$A$1:$BZ$1"),0))</definedName>
    <definedName name="bs_bc_pppy_total">INDEX(INDIRECT("'out_bc_summary'!$A$2:$BZ$60000"),0,MATCH("bc_pppy_total",INDIRECT("'out_bc_summary'!$A$1:$BZ$1"),0))</definedName>
    <definedName name="bs_bc_pct_prem_weighted">INDEX(INDIRECT("'out_bc_summary'!$A$2:$BZ$60000"),0,MATCH("bc_pct_prem_weighted",INDIRECT("'out_bc_summary'!$A$1:$BZ$1"),0))</definedName>
    <definedName name="bs_sens_straight_mean">INDEX(INDIRECT("'out_bc_summary'!$A$2:$BZ$60000"),0,MATCH("sens_straight_mean",INDIRECT("'out_bc_summary'!$A$1:$BZ$1"),0))</definedName>
    <definedName name="bs_sens_wfreq_x_sev">INDEX(INDIRECT("'out_bc_summary'!$A$2:$BZ$60000"),0,MATCH("sens_wfreq_x_sev",INDIRECT("'out_bc_summary'!$A$1:$BZ$1"),0))</definedName>
    <definedName name="bs_sens_sfreq_x_sev">INDEX(INDIRECT("'out_bc_summary'!$A$2:$BZ$60000"),0,MATCH("sens_sfreq_x_sev",INDIRECT("'out_bc_summary'!$A$1:$BZ$1"),0))</definedName>
    <definedName name="bs_bc_min">INDEX(INDIRECT("'out_bc_summary'!$A$2:$BZ$60000"),0,MATCH("bc_min",INDIRECT("'out_bc_summary'!$A$1:$BZ$1"),0))</definedName>
    <definedName name="bs_bc_max">INDEX(INDIRECT("'out_bc_summary'!$A$2:$BZ$60000"),0,MATCH("bc_max",INDIRECT("'out_bc_summary'!$A$1:$BZ$1"),0))</definedName>
    <definedName name="bs_lev_trend">INDEX(INDIRECT("'out_bc_summary'!$A$2:$BZ$60000"),0,MATCH("lev_trend",INDIRECT("'out_bc_summary'!$A$1:$BZ$1"),0))</definedName>
    <definedName name="bs_base_trend">INDEX(INDIRECT("'out_bc_summary'!$A$2:$BZ$60000"),0,MATCH("base_trend",INDIRECT("'out_bc_summary'!$A$1:$BZ$1"),0))</definedName>
    <definedName name="bs_leverage_factor">INDEX(INDIRECT("'out_bc_summary'!$A$2:$BZ$60000"),0,MATCH("leverage_factor",INDIRECT("'out_bc_summary'!$A$1:$BZ$1"),0))</definedName>
    <definedName name="bs_outlier_thr">INDEX(INDIRECT("'out_bc_summary'!$A$2:$BZ$60000"),0,MATCH("outlier_thr",INDIRECT("'out_bc_summary'!$A$1:$BZ$1"),0))</definedName>
    <definedName name="bs_lives_quote_year">INDEX(INDIRECT("'out_bc_summary'!$A$2:$BZ$60000"),0,MATCH("lives_quote_year",INDIRECT("'out_bc_summary'!$A$1:$BZ$1"),0))</definedName>
    <definedName name="bs_expected_cost_det">INDEX(INDIRECT("'out_bc_summary'!$A$2:$BZ$60000"),0,MATCH("expected_cost_det",INDIRECT("'out_bc_summary'!$A$1:$BZ$1"),0))</definedName>
    <definedName name="bs_expected_cost_pct_epi">INDEX(INDIRECT("'out_bc_summary'!$A$2:$BZ$60000"),0,MATCH("expected_cost_pct_epi",INDIRECT("'out_bc_summary'!$A$1:$BZ$1"),0))</definedName>
    <definedName name="bs_expected_cost_from_pct">INDEX(INDIRECT("'out_bc_summary'!$A$2:$BZ$60000"),0,MATCH("expected_cost_from_pct",INDIRECT("'out_bc_summary'!$A$1:$BZ$1"),0))</definedName>
    <definedName name="ps_option_id">INDEX(INDIRECT("'out_sim_summary'!$A$2:$BZ$60000"),0,MATCH("option_id",INDIRECT("'out_sim_summary'!$A$1:$BZ$1"),0))</definedName>
    <definedName name="ps_layer">INDEX(INDIRECT("'out_sim_summary'!$A$2:$BZ$60000"),0,MATCH("layer",INDIRECT("'out_sim_summary'!$A$1:$BZ$1"),0))</definedName>
    <definedName name="ps_l_label">INDEX(INDIRECT("'out_sim_summary'!$A$2:$BZ$60000"),0,MATCH("l_label",INDIRECT("'out_sim_summary'!$A$1:$BZ$1"),0))</definedName>
    <definedName name="ps_iterations">INDEX(INDIRECT("'out_sim_summary'!$A$2:$BZ$60000"),0,MATCH("iterations",INDIRECT("'out_sim_summary'!$A$1:$BZ$1"),0))</definedName>
    <definedName name="ps_lambda">INDEX(INDIRECT("'out_sim_summary'!$A$2:$BZ$60000"),0,MATCH("lambda",INDIRECT("'out_sim_summary'!$A$1:$BZ$1"),0))</definedName>
    <definedName name="ps_freq_dist">INDEX(INDIRECT("'out_sim_summary'!$A$2:$BZ$60000"),0,MATCH("freq_dist",INDIRECT("'out_sim_summary'!$A$1:$BZ$1"),0))</definedName>
    <definedName name="ps_phi">INDEX(INDIRECT("'out_sim_summary'!$A$2:$BZ$60000"),0,MATCH("phi",INDIRECT("'out_sim_summary'!$A$1:$BZ$1"),0))</definedName>
    <definedName name="ps_u_fit">INDEX(INDIRECT("'out_sim_summary'!$A$2:$BZ$60000"),0,MATCH("u_fit",INDIRECT("'out_sim_summary'!$A$1:$BZ$1"),0))</definedName>
    <definedName name="ps_alpha">INDEX(INDIRECT("'out_sim_summary'!$A$2:$BZ$60000"),0,MATCH("alpha",INDIRECT("'out_sim_summary'!$A$1:$BZ$1"),0))</definedName>
    <definedName name="ps_max_observed">INDEX(INDIRECT("'out_sim_summary'!$A$2:$BZ$60000"),0,MATCH("max_observed",INDIRECT("'out_sim_summary'!$A$1:$BZ$1"),0))</definedName>
    <definedName name="ps_lives_q">INDEX(INDIRECT("'out_sim_summary'!$A$2:$BZ$60000"),0,MATCH("lives_q",INDIRECT("'out_sim_summary'!$A$1:$BZ$1"),0))</definedName>
    <definedName name="ps_mean_recovery">INDEX(INDIRECT("'out_sim_summary'!$A$2:$BZ$60000"),0,MATCH("mean_recovery",INDIRECT("'out_sim_summary'!$A$1:$BZ$1"),0))</definedName>
    <definedName name="ps_sd_recovery">INDEX(INDIRECT("'out_sim_summary'!$A$2:$BZ$60000"),0,MATCH("sd_recovery",INDIRECT("'out_sim_summary'!$A$1:$BZ$1"),0))</definedName>
    <definedName name="ps_cov">INDEX(INDIRECT("'out_sim_summary'!$A$2:$BZ$60000"),0,MATCH("cov",INDIRECT("'out_sim_summary'!$A$1:$BZ$1"),0))</definedName>
    <definedName name="ps_p_zero">INDEX(INDIRECT("'out_sim_summary'!$A$2:$BZ$60000"),0,MATCH("p_zero",INDIRECT("'out_sim_summary'!$A$1:$BZ$1"),0))</definedName>
    <definedName name="ps_p50">INDEX(INDIRECT("'out_sim_summary'!$A$2:$BZ$60000"),0,MATCH("p50",INDIRECT("'out_sim_summary'!$A$1:$BZ$1"),0))</definedName>
    <definedName name="ps_p75">INDEX(INDIRECT("'out_sim_summary'!$A$2:$BZ$60000"),0,MATCH("p75",INDIRECT("'out_sim_summary'!$A$1:$BZ$1"),0))</definedName>
    <definedName name="ps_p90">INDEX(INDIRECT("'out_sim_summary'!$A$2:$BZ$60000"),0,MATCH("p90",INDIRECT("'out_sim_summary'!$A$1:$BZ$1"),0))</definedName>
    <definedName name="ps_p95">INDEX(INDIRECT("'out_sim_summary'!$A$2:$BZ$60000"),0,MATCH("p95",INDIRECT("'out_sim_summary'!$A$1:$BZ$1"),0))</definedName>
    <definedName name="ps_p99">INDEX(INDIRECT("'out_sim_summary'!$A$2:$BZ$60000"),0,MATCH("p99",INDIRECT("'out_sim_summary'!$A$1:$BZ$1"),0))</definedName>
    <definedName name="ps_p995">INDEX(INDIRECT("'out_sim_summary'!$A$2:$BZ$60000"),0,MATCH("p995",INDIRECT("'out_sim_summary'!$A$1:$BZ$1"),0))</definedName>
    <definedName name="ps_max_recovery">INDEX(INDIRECT("'out_sim_summary'!$A$2:$BZ$60000"),0,MATCH("max_recovery",INDIRECT("'out_sim_summary'!$A$1:$BZ$1"),0))</definedName>
    <definedName name="ps_mean_below_max_observed">INDEX(INDIRECT("'out_sim_summary'!$A$2:$BZ$60000"),0,MATCH("mean_below_max_observed",INDIRECT("'out_sim_summary'!$A$1:$BZ$1"),0))</definedName>
    <definedName name="ps_mean_above_max_observed">INDEX(INDIRECT("'out_sim_summary'!$A$2:$BZ$60000"),0,MATCH("mean_above_max_observed",INDIRECT("'out_sim_summary'!$A$1:$BZ$1"),0))</definedName>
    <definedName name="ps_mean_reinst_usage">INDEX(INDIRECT("'out_sim_summary'!$A$2:$BZ$60000"),0,MATCH("mean_reinst_usage",INDIRECT("'out_sim_summary'!$A$1:$BZ$1"),0))</definedName>
    <definedName name="ps_expected_cost_det">INDEX(INDIRECT("'out_sim_summary'!$A$2:$BZ$60000"),0,MATCH("expected_cost_det",INDIRECT("'out_sim_summary'!$A$1:$BZ$1"),0))</definedName>
    <definedName name="ps_credibility_z">INDEX(INDIRECT("'out_sim_summary'!$A$2:$BZ$60000"),0,MATCH("credibility_z",INDIRECT("'out_sim_summary'!$A$1:$BZ$1"),0))</definedName>
    <definedName name="ps_det_to_stoch_below">INDEX(INDIRECT("'out_sim_summary'!$A$2:$BZ$60000"),0,MATCH("det_to_stoch_below",INDIRECT("'out_sim_summary'!$A$1:$BZ$1"),0))</definedName>
    <definedName name="ps_expected_loss_blended">INDEX(INDIRECT("'out_sim_summary'!$A$2:$BZ$60000"),0,MATCH("expected_loss_blended",INDIRECT("'out_sim_summary'!$A$1:$BZ$1"),0))</definedName>
    <definedName name="ps_expected_loss_pppy">INDEX(INDIRECT("'out_sim_summary'!$A$2:$BZ$60000"),0,MATCH("expected_loss_pppy",INDIRECT("'out_sim_summary'!$A$1:$BZ$1"),0))</definedName>
    <definedName name="eb_option_id">INDEX(INDIRECT("'out_ev_bc_summary'!$A$2:$BZ$60000"),0,MATCH("option_id",INDIRECT("'out_ev_bc_summary'!$A$1:$BZ$1"),0))</definedName>
    <definedName name="eb_layer">INDEX(INDIRECT("'out_ev_bc_summary'!$A$2:$BZ$60000"),0,MATCH("layer",INDIRECT("'out_ev_bc_summary'!$A$1:$BZ$1"),0))</definedName>
    <definedName name="eb_l_label">INDEX(INDIRECT("'out_ev_bc_summary'!$A$2:$BZ$60000"),0,MATCH("l_label",INDIRECT("'out_ev_bc_summary'!$A$1:$BZ$1"),0))</definedName>
    <definedName name="eb_n_events">INDEX(INDIRECT("'out_ev_bc_summary'!$A$2:$BZ$60000"),0,MATCH("n_events",INDIRECT("'out_ev_bc_summary'!$A$1:$BZ$1"),0))</definedName>
    <definedName name="eb_n_xl_events">INDEX(INDIRECT("'out_ev_bc_summary'!$A$2:$BZ$60000"),0,MATCH("n_xl_events",INDIRECT("'out_ev_bc_summary'!$A$1:$BZ$1"),0))</definedName>
    <definedName name="eb_bc_pppy_weighted">INDEX(INDIRECT("'out_ev_bc_summary'!$A$2:$BZ$60000"),0,MATCH("bc_pppy_weighted",INDIRECT("'out_ev_bc_summary'!$A$1:$BZ$1"),0))</definedName>
    <definedName name="eb_lives_quote_year">INDEX(INDIRECT("'out_ev_bc_summary'!$A$2:$BZ$60000"),0,MATCH("lives_quote_year",INDIRECT("'out_ev_bc_summary'!$A$1:$BZ$1"),0))</definedName>
    <definedName name="eb_expected_cost_det">INDEX(INDIRECT("'out_ev_bc_summary'!$A$2:$BZ$60000"),0,MATCH("expected_cost_det",INDIRECT("'out_ev_bc_summary'!$A$1:$BZ$1"),0))</definedName>
    <definedName name="eb_credibility_z">INDEX(INDIRECT("'out_ev_bc_summary'!$A$2:$BZ$60000"),0,MATCH("credibility_z",INDIRECT("'out_ev_bc_summary'!$A$1:$BZ$1"),0))</definedName>
    <definedName name="eb_lambda_exp">INDEX(INDIRECT("'out_ev_bc_summary'!$A$2:$BZ$60000"),0,MATCH("lambda_exp",INDIRECT("'out_ev_bc_summary'!$A$1:$BZ$1"),0))</definedName>
    <definedName name="es_option_id">INDEX(INDIRECT("'out_ev_sim_summary'!$A$2:$BZ$60000"),0,MATCH("option_id",INDIRECT("'out_ev_sim_summary'!$A$1:$BZ$1"),0))</definedName>
    <definedName name="es_layer">INDEX(INDIRECT("'out_ev_sim_summary'!$A$2:$BZ$60000"),0,MATCH("layer",INDIRECT("'out_ev_sim_summary'!$A$1:$BZ$1"),0))</definedName>
    <definedName name="es_l_label">INDEX(INDIRECT("'out_ev_sim_summary'!$A$2:$BZ$60000"),0,MATCH("l_label",INDIRECT("'out_ev_sim_summary'!$A$1:$BZ$1"),0))</definedName>
    <definedName name="es_iterations">INDEX(INDIRECT("'out_ev_sim_summary'!$A$2:$BZ$60000"),0,MATCH("iterations",INDIRECT("'out_ev_sim_summary'!$A$1:$BZ$1"),0))</definedName>
    <definedName name="es_lambda_exp">INDEX(INDIRECT("'out_ev_sim_summary'!$A$2:$BZ$60000"),0,MATCH("lambda_exp",INDIRECT("'out_ev_sim_summary'!$A$1:$BZ$1"),0))</definedName>
    <definedName name="es_mean_events">INDEX(INDIRECT("'out_ev_sim_summary'!$A$2:$BZ$60000"),0,MATCH("mean_events",INDIRECT("'out_ev_sim_summary'!$A$1:$BZ$1"),0))</definedName>
    <definedName name="es_n_hist_events">INDEX(INDIRECT("'out_ev_sim_summary'!$A$2:$BZ$60000"),0,MATCH("n_hist_events",INDIRECT("'out_ev_sim_summary'!$A$1:$BZ$1"),0))</definedName>
    <definedName name="es_mean_recovery">INDEX(INDIRECT("'out_ev_sim_summary'!$A$2:$BZ$60000"),0,MATCH("mean_recovery",INDIRECT("'out_ev_sim_summary'!$A$1:$BZ$1"),0))</definedName>
    <definedName name="es_sd_recovery">INDEX(INDIRECT("'out_ev_sim_summary'!$A$2:$BZ$60000"),0,MATCH("sd_recovery",INDIRECT("'out_ev_sim_summary'!$A$1:$BZ$1"),0))</definedName>
    <definedName name="es_p_zero">INDEX(INDIRECT("'out_ev_sim_summary'!$A$2:$BZ$60000"),0,MATCH("p_zero",INDIRECT("'out_ev_sim_summary'!$A$1:$BZ$1"),0))</definedName>
    <definedName name="es_p50">INDEX(INDIRECT("'out_ev_sim_summary'!$A$2:$BZ$60000"),0,MATCH("p50",INDIRECT("'out_ev_sim_summary'!$A$1:$BZ$1"),0))</definedName>
    <definedName name="es_p90">INDEX(INDIRECT("'out_ev_sim_summary'!$A$2:$BZ$60000"),0,MATCH("p90",INDIRECT("'out_ev_sim_summary'!$A$1:$BZ$1"),0))</definedName>
    <definedName name="es_p95">INDEX(INDIRECT("'out_ev_sim_summary'!$A$2:$BZ$60000"),0,MATCH("p95",INDIRECT("'out_ev_sim_summary'!$A$1:$BZ$1"),0))</definedName>
    <definedName name="es_p99">INDEX(INDIRECT("'out_ev_sim_summary'!$A$2:$BZ$60000"),0,MATCH("p99",INDIRECT("'out_ev_sim_summary'!$A$1:$BZ$1"),0))</definedName>
    <definedName name="es_p995">INDEX(INDIRECT("'out_ev_sim_summary'!$A$2:$BZ$60000"),0,MATCH("p995",INDIRECT("'out_ev_sim_summary'!$A$1:$BZ$1"),0))</definedName>
    <definedName name="es_max_recovery">INDEX(INDIRECT("'out_ev_sim_summary'!$A$2:$BZ$60000"),0,MATCH("max_recovery",INDIRECT("'out_ev_sim_summary'!$A$1:$BZ$1"),0))</definedName>
    <definedName name="es_mean_reinst_usage">INDEX(INDIRECT("'out_ev_sim_summary'!$A$2:$BZ$60000"),0,MATCH("mean_reinst_usage",INDIRECT("'out_ev_sim_summary'!$A$1:$BZ$1"),0))</definedName>
    <definedName name="es_mean_recovery_net_pp">INDEX(INDIRECT("'out_ev_sim_summary'!$A$2:$BZ$60000"),0,MATCH("mean_recovery_net_pp",INDIRECT("'out_ev_sim_summary'!$A$1:$BZ$1"),0))</definedName>
    <definedName name="es_expected_cost_det">INDEX(INDIRECT("'out_ev_sim_summary'!$A$2:$BZ$60000"),0,MATCH("expected_cost_det",INDIRECT("'out_ev_sim_summary'!$A$1:$BZ$1"),0))</definedName>
    <definedName name="es_credibility_z">INDEX(INDIRECT("'out_ev_sim_summary'!$A$2:$BZ$60000"),0,MATCH("credibility_z",INDIRECT("'out_ev_sim_summary'!$A$1:$BZ$1"),0))</definedName>
    <definedName name="es_expected_loss_blended">INDEX(INDIRECT("'out_ev_sim_summary'!$A$2:$BZ$60000"),0,MATCH("expected_loss_blended",INDIRECT("'out_ev_sim_summary'!$A$1:$BZ$1"),0))</definedName>
    <definedName name="es_expected_loss_pppy">INDEX(INDIRECT("'out_ev_sim_summary'!$A$2:$BZ$60000"),0,MATCH("expected_loss_pppy",INDIRECT("'out_ev_sim_summary'!$A$1:$BZ$1"),0))</definedName>
    <definedName name="es_lives_quote_year">INDEX(INDIRECT("'out_ev_sim_summary'!$A$2:$BZ$60000"),0,MATCH("lives_quote_year",INDIRECT("'out_ev_sim_summary'!$A$1:$BZ$1"),0))</definedName>
    <definedName name="gs_t_sl">INDEX(INDIRECT("'out_gross_summary'!$A$2:$BZ$60000"),0,MATCH("t_sl",INDIRECT("'out_gross_summary'!$A$1:$BZ$1"),0))</definedName>
    <definedName name="gs_u_fit">INDEX(INDIRECT("'out_gross_summary'!$A$2:$BZ$60000"),0,MATCH("u_fit",INDIRECT("'out_gross_summary'!$A$1:$BZ$1"),0))</definedName>
    <definedName name="gs_n_years">INDEX(INDIRECT("'out_gross_summary'!$A$2:$BZ$60000"),0,MATCH("n_years",INDIRECT("'out_gross_summary'!$A$1:$BZ$1"),0))</definedName>
    <definedName name="gs_attritional_pppy_weighted">INDEX(INDIRECT("'out_gross_summary'!$A$2:$BZ$60000"),0,MATCH("attritional_pppy_weighted",INDIRECT("'out_gross_summary'!$A$1:$BZ$1"),0))</definedName>
    <definedName name="gs_attritional_pppy_mean">INDEX(INDIRECT("'out_gross_summary'!$A$2:$BZ$60000"),0,MATCH("attritional_pppy_mean",INDIRECT("'out_gross_summary'!$A$1:$BZ$1"),0))</definedName>
    <definedName name="gs_cov_hist">INDEX(INDIRECT("'out_gross_summary'!$A$2:$BZ$60000"),0,MATCH("cov_hist",INDIRECT("'out_gross_summary'!$A$1:$BZ$1"),0))</definedName>
    <definedName name="gs_cov_used">INDEX(INDIRECT("'out_gross_summary'!$A$2:$BZ$60000"),0,MATCH("cov_used",INDIRECT("'out_gross_summary'!$A$1:$BZ$1"),0))</definedName>
    <definedName name="gs_attritional_dist">INDEX(INDIRECT("'out_gross_summary'!$A$2:$BZ$60000"),0,MATCH("attritional_dist",INDIRECT("'out_gross_summary'!$A$1:$BZ$1"),0))</definedName>
    <definedName name="gs_lives_quote_year">INDEX(INDIRECT("'out_gross_summary'!$A$2:$BZ$60000"),0,MATCH("lives_quote_year",INDIRECT("'out_gross_summary'!$A$1:$BZ$1"),0))</definedName>
    <definedName name="gs_reference_lives">INDEX(INDIRECT("'out_gross_summary'!$A$2:$BZ$60000"),0,MATCH("reference_lives",INDIRECT("'out_gross_summary'!$A$1:$BZ$1"),0))</definedName>
    <definedName name="gs_incidence_adj">INDEX(INDIRECT("'out_gross_summary'!$A$2:$BZ$60000"),0,MATCH("incidence_adj",INDIRECT("'out_gross_summary'!$A$1:$BZ$1"),0))</definedName>
    <definedName name="gs_attritional_mean_q">INDEX(INDIRECT("'out_gross_summary'!$A$2:$BZ$60000"),0,MATCH("attritional_mean_q",INDIRECT("'out_gross_summary'!$A$1:$BZ$1"),0))</definedName>
    <definedName name="gs_m_ln">INDEX(INDIRECT("'out_gross_summary'!$A$2:$BZ$60000"),0,MATCH("m_ln",INDIRECT("'out_gross_summary'!$A$1:$BZ$1"),0))</definedName>
    <definedName name="gs_sigma_ln">INDEX(INDIRECT("'out_gross_summary'!$A$2:$BZ$60000"),0,MATCH("sigma_ln",INDIRECT("'out_gross_summary'!$A$1:$BZ$1"),0))</definedName>
    <definedName name="gs_iterations">INDEX(INDIRECT("'out_gross_summary'!$A$2:$BZ$60000"),0,MATCH("iterations",INDIRECT("'out_gross_summary'!$A$1:$BZ$1"),0))</definedName>
    <definedName name="gs_mean_attritional_sim">INDEX(INDIRECT("'out_gross_summary'!$A$2:$BZ$60000"),0,MATCH("mean_attritional_sim",INDIRECT("'out_gross_summary'!$A$1:$BZ$1"),0))</definedName>
    <definedName name="gs_mean_large_sim">INDEX(INDIRECT("'out_gross_summary'!$A$2:$BZ$60000"),0,MATCH("mean_large_sim",INDIRECT("'out_gross_summary'!$A$1:$BZ$1"),0))</definedName>
    <definedName name="gs_mean_gross">INDEX(INDIRECT("'out_gross_summary'!$A$2:$BZ$60000"),0,MATCH("mean_gross",INDIRECT("'out_gross_summary'!$A$1:$BZ$1"),0))</definedName>
    <definedName name="gs_sd_gross">INDEX(INDIRECT("'out_gross_summary'!$A$2:$BZ$60000"),0,MATCH("sd_gross",INDIRECT("'out_gross_summary'!$A$1:$BZ$1"),0))</definedName>
    <definedName name="gs_budget">INDEX(INDIRECT("'out_gross_summary'!$A$2:$BZ$60000"),0,MATCH("budget",INDIRECT("'out_gross_summary'!$A$1:$BZ$1"),0))</definedName>
    <definedName name="gs_budget_source">INDEX(INDIRECT("'out_gross_summary'!$A$2:$BZ$60000"),0,MATCH("budget_source",INDIRECT("'out_gross_summary'!$A$1:$BZ$1"),0))</definedName>
    <definedName name="gs_epi">INDEX(INDIRECT("'out_gross_summary'!$A$2:$BZ$60000"),0,MATCH("epi",INDIRECT("'out_gross_summary'!$A$1:$BZ$1"),0))</definedName>
    <definedName name="ss_struct_key">INDEX(INDIRECT("'out_struct_summary'!$A$2:$BZ$60000"),0,MATCH("struct_key",INDIRECT("'out_struct_summary'!$A$1:$BZ$1"),0))</definedName>
    <definedName name="ss_cover">INDEX(INDIRECT("'out_struct_summary'!$A$2:$BZ$60000"),0,MATCH("cover",INDIRECT("'out_struct_summary'!$A$1:$BZ$1"),0))</definedName>
    <definedName name="ss_option_id">INDEX(INDIRECT("'out_struct_summary'!$A$2:$BZ$60000"),0,MATCH("option_id",INDIRECT("'out_struct_summary'!$A$1:$BZ$1"),0))</definedName>
    <definedName name="ss_pp_option">INDEX(INDIRECT("'out_struct_summary'!$A$2:$BZ$60000"),0,MATCH("pp_option",INDIRECT("'out_struct_summary'!$A$1:$BZ$1"),0))</definedName>
    <definedName name="ss_ev_option">INDEX(INDIRECT("'out_struct_summary'!$A$2:$BZ$60000"),0,MATCH("ev_option",INDIRECT("'out_struct_summary'!$A$1:$BZ$1"),0))</definedName>
    <definedName name="ss_sl_option">INDEX(INDIRECT("'out_struct_summary'!$A$2:$BZ$60000"),0,MATCH("sl_option",INDIRECT("'out_struct_summary'!$A$1:$BZ$1"),0))</definedName>
    <definedName name="ss_l_label">INDEX(INDIRECT("'out_struct_summary'!$A$2:$BZ$60000"),0,MATCH("l_label",INDIRECT("'out_struct_summary'!$A$1:$BZ$1"),0))</definedName>
    <definedName name="ss_iterations">INDEX(INDIRECT("'out_struct_summary'!$A$2:$BZ$60000"),0,MATCH("iterations",INDIRECT("'out_struct_summary'!$A$1:$BZ$1"),0))</definedName>
    <definedName name="ss_mean_gross">INDEX(INDIRECT("'out_struct_summary'!$A$2:$BZ$60000"),0,MATCH("mean_gross",INDIRECT("'out_struct_summary'!$A$1:$BZ$1"),0))</definedName>
    <definedName name="ss_mean_recovery">INDEX(INDIRECT("'out_struct_summary'!$A$2:$BZ$60000"),0,MATCH("mean_recovery",INDIRECT("'out_struct_summary'!$A$1:$BZ$1"),0))</definedName>
    <definedName name="ss_sd_recovery">INDEX(INDIRECT("'out_struct_summary'!$A$2:$BZ$60000"),0,MATCH("sd_recovery",INDIRECT("'out_struct_summary'!$A$1:$BZ$1"),0))</definedName>
    <definedName name="ss_p_zero">INDEX(INDIRECT("'out_struct_summary'!$A$2:$BZ$60000"),0,MATCH("p_zero",INDIRECT("'out_struct_summary'!$A$1:$BZ$1"),0))</definedName>
    <definedName name="ss_mean_recovery_total">INDEX(INDIRECT("'out_struct_summary'!$A$2:$BZ$60000"),0,MATCH("mean_recovery_total",INDIRECT("'out_struct_summary'!$A$1:$BZ$1"),0))</definedName>
    <definedName name="ss_mean_net">INDEX(INDIRECT("'out_struct_summary'!$A$2:$BZ$60000"),0,MATCH("mean_net",INDIRECT("'out_struct_summary'!$A$1:$BZ$1"),0))</definedName>
    <definedName name="ss_sd_net">INDEX(INDIRECT("'out_struct_summary'!$A$2:$BZ$60000"),0,MATCH("sd_net",INDIRECT("'out_struct_summary'!$A$1:$BZ$1"),0))</definedName>
    <definedName name="ss_mean_ru_l1">INDEX(INDIRECT("'out_struct_summary'!$A$2:$BZ$60000"),0,MATCH("mean_ru_l1",INDIRECT("'out_struct_summary'!$A$1:$BZ$1"),0))</definedName>
    <definedName name="ss_mean_ru_l2">INDEX(INDIRECT("'out_struct_summary'!$A$2:$BZ$60000"),0,MATCH("mean_ru_l2",INDIRECT("'out_struct_summary'!$A$1:$BZ$1"),0))</definedName>
    <definedName name="ss_mean_ru_ev1">INDEX(INDIRECT("'out_struct_summary'!$A$2:$BZ$60000"),0,MATCH("mean_ru_ev1",INDIRECT("'out_struct_summary'!$A$1:$BZ$1"),0))</definedName>
    <definedName name="ss_mean_ru_ev2">INDEX(INDIRECT("'out_struct_summary'!$A$2:$BZ$60000"),0,MATCH("mean_ru_ev2",INDIRECT("'out_struct_summary'!$A$1:$BZ$1"),0))</definedName>
    <definedName name="ss_sl_basis">INDEX(INDIRECT("'out_struct_summary'!$A$2:$BZ$60000"),0,MATCH("sl_basis",INDIRECT("'out_struct_summary'!$A$1:$BZ$1"),0))</definedName>
    <definedName name="ss_sl_measure">INDEX(INDIRECT("'out_struct_summary'!$A$2:$BZ$60000"),0,MATCH("sl_measure",INDIRECT("'out_struct_summary'!$A$1:$BZ$1"),0))</definedName>
    <definedName name="ss_sl_ap">INDEX(INDIRECT("'out_struct_summary'!$A$2:$BZ$60000"),0,MATCH("sl_ap",INDIRECT("'out_struct_summary'!$A$1:$BZ$1"),0))</definedName>
    <definedName name="ss_sl_limit">INDEX(INDIRECT("'out_struct_summary'!$A$2:$BZ$60000"),0,MATCH("sl_limit",INDIRECT("'out_struct_summary'!$A$1:$BZ$1"),0))</definedName>
    <definedName name="ss_ap_amount">INDEX(INDIRECT("'out_struct_summary'!$A$2:$BZ$60000"),0,MATCH("ap_amount",INDIRECT("'out_struct_summary'!$A$1:$BZ$1"),0))</definedName>
    <definedName name="ss_limit_amount">INDEX(INDIRECT("'out_struct_summary'!$A$2:$BZ$60000"),0,MATCH("limit_amount",INDIRECT("'out_struct_summary'!$A$1:$BZ$1"),0))</definedName>
    <definedName name="ss_ap_pct_budget">INDEX(INDIRECT("'out_struct_summary'!$A$2:$BZ$60000"),0,MATCH("ap_pct_budget",INDIRECT("'out_struct_summary'!$A$1:$BZ$1"),0))</definedName>
    <definedName name="ss_limit_pct_budget">INDEX(INDIRECT("'out_struct_summary'!$A$2:$BZ$60000"),0,MATCH("limit_pct_budget",INDIRECT("'out_struct_summary'!$A$1:$BZ$1"),0))</definedName>
    <definedName name="ss_ap_pct_epi">INDEX(INDIRECT("'out_struct_summary'!$A$2:$BZ$60000"),0,MATCH("ap_pct_epi",INDIRECT("'out_struct_summary'!$A$1:$BZ$1"),0))</definedName>
    <definedName name="ss_limit_pct_epi">INDEX(INDIRECT("'out_struct_summary'!$A$2:$BZ$60000"),0,MATCH("limit_pct_epi",INDIRECT("'out_struct_summary'!$A$1:$BZ$1"),0))</definedName>
    <definedName name="ss_budget">INDEX(INDIRECT("'out_struct_summary'!$A$2:$BZ$60000"),0,MATCH("budget",INDIRECT("'out_struct_summary'!$A$1:$BZ$1"),0))</definedName>
    <definedName name="ss_epi">INDEX(INDIRECT("'out_struct_summary'!$A$2:$BZ$60000"),0,MATCH("epi",INDIRECT("'out_struct_summary'!$A$1:$BZ$1"),0))</definedName>
    <definedName name="sq_struct_key">INDEX(INDIRECT("'out_struct_quantiles'!$A$2:$BZ$60000"),0,MATCH("struct_key",INDIRECT("'out_struct_quantiles'!$A$1:$BZ$1"),0))</definedName>
    <definedName name="sq_cover">INDEX(INDIRECT("'out_struct_quantiles'!$A$2:$BZ$60000"),0,MATCH("cover",INDIRECT("'out_struct_quantiles'!$A$1:$BZ$1"),0))</definedName>
    <definedName name="sq_option_id">INDEX(INDIRECT("'out_struct_quantiles'!$A$2:$BZ$60000"),0,MATCH("option_id",INDIRECT("'out_struct_quantiles'!$A$1:$BZ$1"),0))</definedName>
    <definedName name="sq_pp_option">INDEX(INDIRECT("'out_struct_quantiles'!$A$2:$BZ$60000"),0,MATCH("pp_option",INDIRECT("'out_struct_quantiles'!$A$1:$BZ$1"),0))</definedName>
    <definedName name="sq_ev_option">INDEX(INDIRECT("'out_struct_quantiles'!$A$2:$BZ$60000"),0,MATCH("ev_option",INDIRECT("'out_struct_quantiles'!$A$1:$BZ$1"),0))</definedName>
    <definedName name="sq_sl_option">INDEX(INDIRECT("'out_struct_quantiles'!$A$2:$BZ$60000"),0,MATCH("sl_option",INDIRECT("'out_struct_quantiles'!$A$1:$BZ$1"),0))</definedName>
    <definedName name="sq_l_label">INDEX(INDIRECT("'out_struct_quantiles'!$A$2:$BZ$60000"),0,MATCH("l_label",INDIRECT("'out_struct_quantiles'!$A$1:$BZ$1"),0))</definedName>
    <definedName name="sq_q">INDEX(INDIRECT("'out_struct_quantiles'!$A$2:$BZ$60000"),0,MATCH("q",INDIRECT("'out_struct_quantiles'!$A$1:$BZ$1"),0))</definedName>
    <definedName name="sq_qm">INDEX(INDIRECT("'out_struct_quantiles'!$A$2:$BZ$60000"),0,MATCH("qm",INDIRECT("'out_struct_quantiles'!$A$1:$BZ$1"),0))</definedName>
    <definedName name="sq_net_claims">INDEX(INDIRECT("'out_struct_quantiles'!$A$2:$BZ$60000"),0,MATCH("net_claims",INDIRECT("'out_struct_quantiles'!$A$1:$BZ$1"),0))</definedName>
    <definedName name="sq_ru_l1_at_q">INDEX(INDIRECT("'out_struct_quantiles'!$A$2:$BZ$60000"),0,MATCH("ru_l1_at_q",INDIRECT("'out_struct_quantiles'!$A$1:$BZ$1"),0))</definedName>
    <definedName name="sq_ru_l2_at_q">INDEX(INDIRECT("'out_struct_quantiles'!$A$2:$BZ$60000"),0,MATCH("ru_l2_at_q",INDIRECT("'out_struct_quantiles'!$A$1:$BZ$1"),0))</definedName>
    <definedName name="sq_ru_ev1_at_q">INDEX(INDIRECT("'out_struct_quantiles'!$A$2:$BZ$60000"),0,MATCH("ru_ev1_at_q",INDIRECT("'out_struct_quantiles'!$A$1:$BZ$1"),0))</definedName>
    <definedName name="sq_ru_ev2_at_q">INDEX(INDIRECT("'out_struct_quantiles'!$A$2:$BZ$60000"),0,MATCH("ru_ev2_at_q",INDIRECT("'out_struct_quantiles'!$A$1:$BZ$1"),0))</definedName>
    <definedName name="sq_recovery">INDEX(INDIRECT("'out_struct_quantiles'!$A$2:$BZ$60000"),0,MATCH("recovery",INDIRECT("'out_struct_quantiles'!$A$1:$BZ$1"),0))</definedName>
    <definedName name="el_cover">INDEX(INDIRECT("'out_exposed_lives'!$A$2:$BZ$60000"),0,MATCH("cover",INDIRECT("'out_exposed_lives'!$A$1:$BZ$1"),0))</definedName>
    <definedName name="el_option_id">INDEX(INDIRECT("'out_exposed_lives'!$A$2:$BZ$60000"),0,MATCH("option_id",INDIRECT("'out_exposed_lives'!$A$1:$BZ$1"),0))</definedName>
    <definedName name="el_layer">INDEX(INDIRECT("'out_exposed_lives'!$A$2:$BZ$60000"),0,MATCH("layer",INDIRECT("'out_exposed_lives'!$A$1:$BZ$1"),0))</definedName>
    <definedName name="el_l_label">INDEX(INDIRECT("'out_exposed_lives'!$A$2:$BZ$60000"),0,MATCH("l_label",INDIRECT("'out_exposed_lives'!$A$1:$BZ$1"),0))</definedName>
    <definedName name="el_ap">INDEX(INDIRECT("'out_exposed_lives'!$A$2:$BZ$60000"),0,MATCH("ap",INDIRECT("'out_exposed_lives'!$A$1:$BZ$1"),0))</definedName>
    <definedName name="el_share_exposed">INDEX(INDIRECT("'out_exposed_lives'!$A$2:$BZ$60000"),0,MATCH("share_exposed",INDIRECT("'out_exposed_lives'!$A$1:$BZ$1"),0))</definedName>
    <definedName name="el_exposed_lives">INDEX(INDIRECT("'out_exposed_lives'!$A$2:$BZ$60000"),0,MATCH("exposed_lives",INDIRECT("'out_exposed_lives'!$A$1:$BZ$1"),0))</definedName>
    <definedName name="el_lives_quote_year">INDEX(INDIRECT("'out_exposed_lives'!$A$2:$BZ$60000"),0,MATCH("lives_quote_year",INDIRECT("'out_exposed_lives'!$A$1:$BZ$1"),0))</definedName>
    <definedName name="el_reference_lives">INDEX(INDIRECT("'out_exposed_lives'!$A$2:$BZ$60000"),0,MATCH("reference_lives",INDIRECT("'out_exposed_lives'!$A$1:$BZ$1"),0))</definedName>
    <definedName name="el_basis_note">INDEX(INDIRECT("'out_exposed_lives'!$A$2:$BZ$60000"),0,MATCH("basis_note",INDIRECT("'out_exposed_lives'!$A$1:$BZ$1"),0))</definedName>
    <definedName name="xp_cover">INDEX(INDIRECT("'out_expiring'!$A$2:$BZ$60000"),0,MATCH("cover",INDIRECT("'out_expiring'!$A$1:$BZ$1"),0))</definedName>
    <definedName name="xp_layer">INDEX(INDIRECT("'out_expiring'!$A$2:$BZ$60000"),0,MATCH("layer",INDIRECT("'out_expiring'!$A$1:$BZ$1"),0))</definedName>
    <definedName name="xp_ap">INDEX(INDIRECT("'out_expiring'!$A$2:$BZ$60000"),0,MATCH("ap",INDIRECT("'out_expiring'!$A$1:$BZ$1"),0))</definedName>
    <definedName name="xp_limit">INDEX(INDIRECT("'out_expiring'!$A$2:$BZ$60000"),0,MATCH("limit",INDIRECT("'out_expiring'!$A$1:$BZ$1"),0))</definedName>
    <definedName name="xp_rate_basis">INDEX(INDIRECT("'out_expiring'!$A$2:$BZ$60000"),0,MATCH("rate_basis",INDIRECT("'out_expiring'!$A$1:$BZ$1"),0))</definedName>
    <definedName name="xp_rate">INDEX(INDIRECT("'out_expiring'!$A$2:$BZ$60000"),0,MATCH("rate",INDIRECT("'out_expiring'!$A$1:$BZ$1"),0))</definedName>
    <definedName name="xp_premium">INDEX(INDIRECT("'out_expiring'!$A$2:$BZ$60000"),0,MATCH("premium",INDIRECT("'out_expiring'!$A$1:$BZ$1"),0))</definedName>
    <definedName name="xp_matched_option">INDEX(INDIRECT("'out_expiring'!$A$2:$BZ$60000"),0,MATCH("matched_option",INDIRECT("'out_expiring'!$A$1:$BZ$1"),0))</definedName>
    <definedName name="xp_lev_trend_used">INDEX(INDIRECT("'out_expiring'!$A$2:$BZ$60000"),0,MATCH("lev_trend_used",INDIRECT("'out_expiring'!$A$1:$BZ$1"),0))</definedName>
    <definedName name="xp_lives_quote_year">INDEX(INDIRECT("'out_expiring'!$A$2:$BZ$60000"),0,MATCH("lives_quote_year",INDIRECT("'out_expiring'!$A$1:$BZ$1"),0))</definedName>
    <definedName name="xp_epi">INDEX(INDIRECT("'out_expiring'!$A$2:$BZ$60000"),0,MATCH("epi",INDIRECT("'out_expiring'!$A$1:$BZ$1"),0))</definedName>
    <definedName name="xp_expiring_premium_q">INDEX(INDIRECT("'out_expiring'!$A$2:$BZ$60000"),0,MATCH("expiring_premium_q",INDIRECT("'out_expiring'!$A$1:$BZ$1"),0))</definedName>
    <definedName name="xp_expiring_premium_trended">INDEX(INDIRECT("'out_expiring'!$A$2:$BZ$60000"),0,MATCH("expiring_premium_trended",INDIRECT("'out_expiring'!$A$1:$BZ$1"),0))</definedName>
    <definedName name="ai_cover">INDEX(INDIRECT("'out_asif_by_year'!$A$2:$BZ$60000"),0,MATCH("cover",INDIRECT("'out_asif_by_year'!$A$1:$BZ$1"),0))</definedName>
    <definedName name="ai_layer">INDEX(INDIRECT("'out_asif_by_year'!$A$2:$BZ$60000"),0,MATCH("layer",INDIRECT("'out_asif_by_year'!$A$1:$BZ$1"),0))</definedName>
    <definedName name="ai_matched_option">INDEX(INDIRECT("'out_asif_by_year'!$A$2:$BZ$60000"),0,MATCH("matched_option",INDIRECT("'out_asif_by_year'!$A$1:$BZ$1"),0))</definedName>
    <definedName name="ai_ty">INDEX(INDIRECT("'out_asif_by_year'!$A$2:$BZ$60000"),0,MATCH("ty",INDIRECT("'out_asif_by_year'!$A$1:$BZ$1"),0))</definedName>
    <definedName name="ai_exposure_ly_full">INDEX(INDIRECT("'out_asif_by_year'!$A$2:$BZ$60000"),0,MATCH("exposure_ly_full",INDIRECT("'out_asif_by_year'!$A$1:$BZ$1"),0))</definedName>
    <definedName name="ai_exposure_prem_full">INDEX(INDIRECT("'out_asif_by_year'!$A$2:$BZ$60000"),0,MATCH("exposure_prem_full",INDIRECT("'out_asif_by_year'!$A$1:$BZ$1"),0))</definedName>
    <definedName name="ai_asif_recovery">INDEX(INDIRECT("'out_asif_by_year'!$A$2:$BZ$60000"),0,MATCH("asif_recovery",INDIRECT("'out_asif_by_year'!$A$1:$BZ$1"),0))</definedName>
    <definedName name="ai_asif_premium">INDEX(INDIRECT("'out_asif_by_year'!$A$2:$BZ$60000"),0,MATCH("asif_premium",INDIRECT("'out_asif_by_year'!$A$1:$BZ$1"),0))</definedName>
    <definedName name="ai_premium_year_level">INDEX(INDIRECT("'out_asif_by_year'!$A$2:$BZ$60000"),0,MATCH("premium_year_level",INDIRECT("'out_asif_by_year'!$A$1:$BZ$1"),0))</definedName>
    <definedName name="ai_actual_recovery">INDEX(INDIRECT("'out_asif_by_year'!$A$2:$BZ$60000"),0,MATCH("actual_recovery",INDIRECT("'out_asif_by_year'!$A$1:$BZ$1"),0))</definedName>
    <definedName name="sc_scenario_id">INDEX(INDIRECT("'scn_summary'!$A$2:$BZ$60000"),0,MATCH("scenario_id",INDIRECT("'scn_summary'!$A$1:$BZ$1"),0))</definedName>
    <definedName name="sc_scenario_name">INDEX(INDIRECT("'scn_summary'!$A$2:$BZ$60000"),0,MATCH("scenario_name",INDIRECT("'scn_summary'!$A$1:$BZ$1"),0))</definedName>
    <definedName name="sc_run_at">INDEX(INDIRECT("'scn_summary'!$A$2:$BZ$60000"),0,MATCH("run_at",INDIRECT("'scn_summary'!$A$1:$BZ$1"),0))</definedName>
    <definedName name="sc_struct_key">INDEX(INDIRECT("'scn_summary'!$A$2:$BZ$60000"),0,MATCH("struct_key",INDIRECT("'scn_summary'!$A$1:$BZ$1"),0))</definedName>
    <definedName name="sc_l_label">INDEX(INDIRECT("'scn_summary'!$A$2:$BZ$60000"),0,MATCH("l_label",INDIRECT("'scn_summary'!$A$1:$BZ$1"),0))</definedName>
    <definedName name="sc_budget">INDEX(INDIRECT("'scn_summary'!$A$2:$BZ$60000"),0,MATCH("budget",INDIRECT("'scn_summary'!$A$1:$BZ$1"),0))</definedName>
    <definedName name="sc_mean_recovery">INDEX(INDIRECT("'scn_summary'!$A$2:$BZ$60000"),0,MATCH("mean_recovery",INDIRECT("'scn_summary'!$A$1:$BZ$1"),0))</definedName>
    <definedName name="sc_sd_recovery">INDEX(INDIRECT("'scn_summary'!$A$2:$BZ$60000"),0,MATCH("sd_recovery",INDIRECT("'scn_summary'!$A$1:$BZ$1"),0))</definedName>
    <definedName name="sc_mean_net">INDEX(INDIRECT("'scn_summary'!$A$2:$BZ$60000"),0,MATCH("mean_net",INDIRECT("'scn_summary'!$A$1:$BZ$1"),0))</definedName>
    <definedName name="sc_sd_net">INDEX(INDIRECT("'scn_summary'!$A$2:$BZ$60000"),0,MATCH("sd_net",INDIRECT("'scn_summary'!$A$1:$BZ$1"),0))</definedName>
    <definedName name="sc_expected_loss_blended">INDEX(INDIRECT("'scn_summary'!$A$2:$BZ$60000"),0,MATCH("expected_loss_blended",INDIRECT("'scn_summary'!$A$1:$BZ$1"),0))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#,##0;(#,##0);&quot;-&quot;"/>
    <numFmt numFmtId="166" formatCode="0.0%;(0.0%);&quot;-&quot;"/>
    <numFmt numFmtId="167" formatCode="0.000"/>
    <numFmt numFmtId="168" formatCode="0.000%"/>
    <numFmt numFmtId="169" formatCode="0.0%"/>
    <numFmt numFmtId="170" formatCode="0.0"/>
    <numFmt numFmtId="171" formatCode="#,##0.0;(#,##0.0);&quot;-&quot;"/>
    <numFmt numFmtId="172" formatCode="#,##0.00##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pivotButton="0" quotePrefix="0" xfId="0"/>
    <xf numFmtId="0" fontId="6" fillId="4" borderId="0" pivotButton="0" quotePrefix="0" xfId="0"/>
    <xf numFmtId="0" fontId="3" fillId="0" borderId="0" pivotButton="0" quotePrefix="0" xfId="0"/>
    <xf numFmtId="164" fontId="4" fillId="3" borderId="0" pivotButton="0" quotePrefix="0" xfId="0"/>
    <xf numFmtId="164" fontId="6" fillId="4" borderId="0" pivotButton="0" quotePrefix="0" xfId="0"/>
    <xf numFmtId="164" fontId="3" fillId="0" borderId="0" pivotButton="0" quotePrefix="0" xfId="0"/>
    <xf numFmtId="3" fontId="4" fillId="3" borderId="0" pivotButton="0" quotePrefix="0" xfId="0"/>
    <xf numFmtId="3" fontId="6" fillId="4" borderId="0" pivotButton="0" quotePrefix="0" xfId="0"/>
    <xf numFmtId="3" fontId="3" fillId="0" borderId="0" pivotButton="0" quotePrefix="0" xfId="0"/>
    <xf numFmtId="165" fontId="4" fillId="3" borderId="0" pivotButton="0" quotePrefix="0" xfId="0"/>
    <xf numFmtId="165" fontId="6" fillId="4" borderId="0" pivotButton="0" quotePrefix="0" xfId="0"/>
    <xf numFmtId="165" fontId="3" fillId="0" borderId="0" pivotButton="0" quotePrefix="0" xfId="0"/>
    <xf numFmtId="166" fontId="4" fillId="3" borderId="0" pivotButton="0" quotePrefix="0" xfId="0"/>
    <xf numFmtId="2" fontId="4" fillId="3" borderId="0" pivotButton="0" quotePrefix="0" xfId="0"/>
    <xf numFmtId="166" fontId="6" fillId="4" borderId="0" pivotButton="0" quotePrefix="0" xfId="0"/>
    <xf numFmtId="2" fontId="6" fillId="4" borderId="0" pivotButton="0" quotePrefix="0" xfId="0"/>
    <xf numFmtId="166" fontId="3" fillId="0" borderId="0" pivotButton="0" quotePrefix="0" xfId="0"/>
    <xf numFmtId="2" fontId="3" fillId="0" borderId="0" pivotButton="0" quotePrefix="0" xfId="0"/>
    <xf numFmtId="0" fontId="7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4" fontId="4" fillId="0" borderId="0" pivotButton="0" quotePrefix="0" xfId="0"/>
    <xf numFmtId="168" fontId="4" fillId="0" borderId="0" pivotButton="0" quotePrefix="0" xfId="0"/>
    <xf numFmtId="3" fontId="4" fillId="0" borderId="0" pivotButton="0" quotePrefix="0" xfId="0"/>
    <xf numFmtId="169" fontId="4" fillId="0" borderId="0" pivotButton="0" quotePrefix="0" xfId="0"/>
    <xf numFmtId="170" fontId="3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71" fontId="4" fillId="0" borderId="1" pivotButton="0" quotePrefix="0" xfId="0"/>
    <xf numFmtId="4" fontId="4" fillId="0" borderId="1" pivotButton="0" quotePrefix="0" xfId="0"/>
    <xf numFmtId="17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171" fontId="3" fillId="0" borderId="1" pivotButton="0" quotePrefix="0" xfId="0"/>
    <xf numFmtId="165" fontId="7" fillId="0" borderId="0" pivotButton="0" quotePrefix="0" xfId="0"/>
    <xf numFmtId="1" fontId="4" fillId="0" borderId="0" pivotButton="0" quotePrefix="0" xfId="0"/>
    <xf numFmtId="17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worksheet" Target="worksheets/sheet26.xml" Id="rId26"/><Relationship Type="http://schemas.openxmlformats.org/officeDocument/2006/relationships/worksheet" Target="worksheets/sheet27.xml" Id="rId27"/><Relationship Type="http://schemas.openxmlformats.org/officeDocument/2006/relationships/worksheet" Target="worksheets/sheet28.xml" Id="rId28"/><Relationship Type="http://schemas.openxmlformats.org/officeDocument/2006/relationships/worksheet" Target="worksheets/sheet29.xml" Id="rId29"/><Relationship Type="http://schemas.openxmlformats.org/officeDocument/2006/relationships/worksheet" Target="worksheets/sheet30.xml" Id="rId30"/><Relationship Type="http://schemas.openxmlformats.org/officeDocument/2006/relationships/worksheet" Target="worksheets/sheet31.xml" Id="rId31"/><Relationship Type="http://schemas.openxmlformats.org/officeDocument/2006/relationships/worksheet" Target="worksheets/sheet32.xml" Id="rId32"/><Relationship Type="http://schemas.openxmlformats.org/officeDocument/2006/relationships/worksheet" Target="worksheets/sheet33.xml" Id="rId33"/><Relationship Type="http://schemas.openxmlformats.org/officeDocument/2006/relationships/worksheet" Target="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XoL pricing tool - Results workbook</t>
        </is>
      </c>
    </row>
    <row r="2">
      <c r="A2" s="2" t="inlineStr">
        <is>
          <t>Broker view: expected claims cost, indicative RI cost, cedant impact</t>
        </is>
      </c>
    </row>
    <row r="4">
      <c r="A4" s="3" t="inlineStr">
        <is>
          <t>How it is filled</t>
        </is>
      </c>
    </row>
    <row r="5">
      <c r="A5" s="4" t="inlineStr">
        <is>
          <t>1. Copy this template once to data/output/&lt;live|synth&gt;/XoL_Results.xlsx (next to the stage folders).</t>
        </is>
      </c>
    </row>
    <row r="6">
      <c r="A6" s="4" t="inlineStr">
        <is>
          <t>2. Run the workflows 00 -&gt; 01 -&gt; 02 -&gt; 03 -&gt; 04 -&gt; 05 -&gt; 06 -&gt; 07 in Alteryx. Stage 07 replaces the data sheets (out_*, scn_summary); close this workbook in Excel before running it.</t>
        </is>
      </c>
    </row>
    <row r="7">
      <c r="A7" s="4" t="inlineStr">
        <is>
          <t>3. Open the workbook. Every exhibit recalculates from the data sheets and the Inputs sheet.</t>
        </is>
      </c>
    </row>
    <row r="8">
      <c r="A8" s="4" t="inlineStr"/>
    </row>
    <row r="9">
      <c r="A9" s="3" t="inlineStr">
        <is>
          <t>Sheets</t>
        </is>
      </c>
    </row>
    <row r="10">
      <c r="A10" s="4" t="inlineStr">
        <is>
          <t>Inputs - display currency and unit, reference lives, return periods, expected-loss basis, loadings (Control values with optional overrides).</t>
        </is>
      </c>
    </row>
    <row r="11">
      <c r="A11" s="4" t="inlineStr">
        <is>
          <t>Pricing - per option: expected loss (deterministic, stochastic, credibility-blended), SD, target and upfront premium, reinstatement premium, rates, exposed lives, 1-in-N recoveries exceed premium.</t>
        </is>
      </c>
    </row>
    <row r="12">
      <c r="A12" s="4" t="inlineStr">
        <is>
          <t>Reinsurance Structures - Exhibit C1 (client format).</t>
        </is>
      </c>
    </row>
    <row r="13">
      <c r="A13" s="4" t="inlineStr">
        <is>
          <t>Cedant Impact - Exhibit C2: surplus / (loss) against the net claims budget for the average year and the return periods, without RI and with each structure.</t>
        </is>
      </c>
    </row>
    <row r="14">
      <c r="A14" s="4" t="inlineStr">
        <is>
          <t>Expiring - expiring rate trended vs indicated premium; as-if experience by treaty year.</t>
        </is>
      </c>
    </row>
    <row r="15">
      <c r="A15" s="4" t="inlineStr">
        <is>
          <t>Scenarios - one row per sensitivity run (Params scenario_id).</t>
        </is>
      </c>
    </row>
    <row r="16">
      <c r="A16" s="4" t="inlineStr">
        <is>
          <t>out_* - data written by Alteryx (do not edit; they are replaced each run). out_run_log lists the parameters, justifications, scenario and data mode of the run; out_warnings every check (STOP / FLAG / INFO).</t>
        </is>
      </c>
    </row>
    <row r="17">
      <c r="A17" s="4" t="inlineStr"/>
    </row>
    <row r="18">
      <c r="A18" s="3" t="inlineStr">
        <is>
          <t>Conventions</t>
        </is>
      </c>
    </row>
    <row r="19">
      <c r="A19" s="4" t="inlineStr">
        <is>
          <t>Yellow cells are inputs (blue text). Grey cells show the run value. Formulas read the data sheets through names such as ss_mean_recovery (Formulas &gt; Name Manager), defined with INDIRECT so that a data sheet replaced by Alteryx never breaks a reference.</t>
        </is>
      </c>
    </row>
    <row r="20">
      <c r="A20" s="4" t="inlineStr">
        <is>
          <t>No VBA, no Power Query: every calculation is a cell formula.</t>
        </is>
      </c>
    </row>
    <row r="21">
      <c r="A21" s="4" t="inlineStr">
        <is>
          <t>Caveats: per-person completion factors from portfolio development may understate development above an attachment point; per-event frequency rests on few events (see credibility); the stop-loss attritional CoV rests on 2-5 annual points (floor applies). Risk transfer and capital are out of 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4" customWidth="1" min="4" max="4"/>
    <col width="16" customWidth="1" min="5" max="5"/>
    <col width="60" customWidth="1" min="6" max="6"/>
    <col width="16" customWidth="1" min="7" max="7"/>
    <col width="12" customWidth="1" min="8" max="8"/>
  </cols>
  <sheetData>
    <row r="1">
      <c r="A1" s="1" t="inlineStr">
        <is>
          <t>Inputs and loadings</t>
        </is>
      </c>
    </row>
    <row r="2">
      <c r="A2" s="2" t="inlineStr">
        <is>
          <t>Yellow cells are optional overrides: blank uses the value from the run. Changing a loading or an override updates every exhibit without re-running Alteryx.</t>
        </is>
      </c>
    </row>
    <row r="4" ht="42" customHeight="1">
      <c r="A4" s="5" t="inlineStr"/>
      <c r="B4" s="5" t="inlineStr">
        <is>
          <t>Item</t>
        </is>
      </c>
      <c r="C4" s="5" t="inlineStr">
        <is>
          <t>From the run</t>
        </is>
      </c>
      <c r="D4" s="5" t="inlineStr">
        <is>
          <t>Override</t>
        </is>
      </c>
      <c r="E4" s="5" t="inlineStr">
        <is>
          <t>Used</t>
        </is>
      </c>
      <c r="F4" s="5" t="inlineStr">
        <is>
          <t>Note</t>
        </is>
      </c>
    </row>
    <row r="5">
      <c r="B5" s="6" t="inlineStr">
        <is>
          <t>Quote currency</t>
        </is>
      </c>
      <c r="C5" s="7">
        <f>IFERROR(INDEX(pa_quote_ccy,1),"")</f>
        <v/>
      </c>
      <c r="D5" s="8" t="n"/>
      <c r="E5" s="9">
        <f>IF(D5="",C5,D5)</f>
        <v/>
      </c>
      <c r="F5" s="2" t="inlineStr">
        <is>
          <t>Params quote_ccy</t>
        </is>
      </c>
    </row>
    <row r="6">
      <c r="B6" s="6" t="inlineStr">
        <is>
          <t>1 unit of quote currency in USD</t>
        </is>
      </c>
      <c r="C6" s="10">
        <f>IFERROR(INDEX(pa_fx_quote_to_usd,1),1)</f>
        <v/>
      </c>
      <c r="D6" s="11" t="n"/>
      <c r="E6" s="12">
        <f>IF(D6="",C6,D6)</f>
        <v/>
      </c>
      <c r="F6" s="2" t="inlineStr">
        <is>
          <t>Params fx_quote_to_usd</t>
        </is>
      </c>
    </row>
    <row r="7">
      <c r="B7" s="6" t="inlineStr">
        <is>
          <t>Display currency (QUOTE / USD)</t>
        </is>
      </c>
      <c r="C7" s="7">
        <f>IFERROR(INDEX(pa_currency_display,1),"QUOTE")</f>
        <v/>
      </c>
      <c r="D7" s="8" t="n"/>
      <c r="E7" s="9">
        <f>IF(D7="",C7,D7)</f>
        <v/>
      </c>
      <c r="F7" s="2" t="inlineStr">
        <is>
          <t>Exhibits only</t>
        </is>
      </c>
    </row>
    <row r="8">
      <c r="B8" s="6" t="inlineStr">
        <is>
          <t>Display unit (1, 1000, 1000000)</t>
        </is>
      </c>
      <c r="C8" s="13" t="n">
        <v>1000</v>
      </c>
      <c r="D8" s="14" t="n"/>
      <c r="E8" s="15">
        <f>IF(D8="",C8,D8)</f>
        <v/>
      </c>
      <c r="F8" s="2" t="inlineStr">
        <is>
          <t>Amounts in the exhibits are divided by this</t>
        </is>
      </c>
    </row>
    <row r="9">
      <c r="B9" s="6" t="inlineStr">
        <is>
          <t>Reference lives</t>
        </is>
      </c>
      <c r="C9" s="13">
        <f>IFERROR(INDEX(el_reference_lives,1),"")</f>
        <v/>
      </c>
      <c r="D9" s="14" t="n"/>
      <c r="E9" s="15">
        <f>IF(D9="",C9,D9)</f>
        <v/>
      </c>
      <c r="F9" s="2" t="inlineStr">
        <is>
          <t>Premium per reference lives (C1)</t>
        </is>
      </c>
    </row>
    <row r="10">
      <c r="B10" s="6" t="inlineStr">
        <is>
          <t>Lives in the quote year</t>
        </is>
      </c>
      <c r="C10" s="13">
        <f>IFERROR(INDEX(el_lives_quote_year,1),"")</f>
        <v/>
      </c>
      <c r="D10" s="14" t="n"/>
      <c r="E10" s="15">
        <f>IF(D10="",C10,D10)</f>
        <v/>
      </c>
      <c r="F10" s="2" t="inlineStr">
        <is>
          <t>Stage 03 projection</t>
        </is>
      </c>
    </row>
    <row r="11">
      <c r="B11" s="6" t="inlineStr">
        <is>
          <t>Expected premium income (EPI)</t>
        </is>
      </c>
      <c r="C11" s="16">
        <f>IFERROR(INDEX(pa_epi_quote_year,1),"")</f>
        <v/>
      </c>
      <c r="D11" s="17" t="n"/>
      <c r="E11" s="18">
        <f>IF(D11="",C11,D11)</f>
        <v/>
      </c>
      <c r="F11" s="2" t="inlineStr">
        <is>
          <t>Params epi_quote_year</t>
        </is>
      </c>
    </row>
    <row r="12">
      <c r="B12" s="6" t="inlineStr">
        <is>
          <t>Net claims budget</t>
        </is>
      </c>
      <c r="C12" s="16">
        <f>IFERROR(INDEX(gs_budget,1),"")</f>
        <v/>
      </c>
      <c r="D12" s="17" t="n"/>
      <c r="E12" s="18">
        <f>IF(D12="",C12,D12)</f>
        <v/>
      </c>
      <c r="F12" s="2" t="inlineStr">
        <is>
          <t>Run value: net_claims_budget, else mean simulated gross. Stop-loss attachments were set in the run</t>
        </is>
      </c>
    </row>
    <row r="13">
      <c r="B13" s="6" t="inlineStr">
        <is>
          <t>Return period 1 (years)</t>
        </is>
      </c>
      <c r="C13" s="13">
        <f>IFERROR(VALUE(TRIM(MID(SUBSTITUTE(INDEX(pa_return_periods,1),",",REPT(" ",100)),1,100))),5)</f>
        <v/>
      </c>
      <c r="D13" s="14" t="n"/>
      <c r="E13" s="15">
        <f>IF(D13="",C13,D13)</f>
        <v/>
      </c>
      <c r="F13" s="2" t="inlineStr">
        <is>
          <t>Params return_periods</t>
        </is>
      </c>
    </row>
    <row r="14">
      <c r="B14" s="6" t="inlineStr">
        <is>
          <t>Return period 2 (years)</t>
        </is>
      </c>
      <c r="C14" s="13">
        <f>IFERROR(VALUE(TRIM(MID(SUBSTITUTE(INDEX(pa_return_periods,1),",",REPT(" ",100)),101,100))),50)</f>
        <v/>
      </c>
      <c r="D14" s="14" t="n"/>
      <c r="E14" s="15">
        <f>IF(D14="",C14,D14)</f>
        <v/>
      </c>
      <c r="F14" s="2" t="inlineStr"/>
    </row>
    <row r="15">
      <c r="B15" s="6" t="inlineStr">
        <is>
          <t>Return period 3 (years)</t>
        </is>
      </c>
      <c r="C15" s="13">
        <f>IFERROR(VALUE(TRIM(MID(SUBSTITUTE(INDEX(pa_return_periods,1),",",REPT(" ",100)),201,100))),250)</f>
        <v/>
      </c>
      <c r="D15" s="14" t="n"/>
      <c r="E15" s="15">
        <f>IF(D15="",C15,D15)</f>
        <v/>
      </c>
      <c r="F15" s="2" t="inlineStr"/>
    </row>
    <row r="16">
      <c r="B16" s="6" t="inlineStr">
        <is>
          <t>Expected loss used for PP / EV</t>
        </is>
      </c>
      <c r="C16" s="7" t="inlineStr">
        <is>
          <t>BLENDED</t>
        </is>
      </c>
      <c r="D16" s="8" t="n"/>
      <c r="E16" s="9">
        <f>IF(D16="",C16,D16)</f>
        <v/>
      </c>
      <c r="F16" s="2" t="inlineStr">
        <is>
          <t>BLENDED (credibility blend), STOCHASTIC or DETERMINISTIC. Stop loss always uses the simulation</t>
        </is>
      </c>
    </row>
    <row r="18">
      <c r="B18" s="6" t="inlineStr">
        <is>
          <t>Display factor (currency / unit)</t>
        </is>
      </c>
      <c r="E18" s="12">
        <f>IF(E7="USD",E6,1)/E8</f>
        <v/>
      </c>
    </row>
    <row r="19">
      <c r="B19" s="6" t="inlineStr">
        <is>
          <t>Display currency label</t>
        </is>
      </c>
      <c r="E19" s="9">
        <f>IF(E7="USD","USD",E5)</f>
        <v/>
      </c>
    </row>
    <row r="20">
      <c r="B20" s="6" t="inlineStr">
        <is>
          <t>Scenario of this run</t>
        </is>
      </c>
      <c r="E20" s="9">
        <f>IFERROR(INDEX(rl_value,MATCH("scenario_name",rl_item,0)),"")</f>
        <v/>
      </c>
    </row>
    <row r="22">
      <c r="B22" s="9" t="inlineStr">
        <is>
          <t>Loadings from the Control workbook</t>
        </is>
      </c>
    </row>
    <row r="23" ht="42" customHeight="1">
      <c r="B23" s="5" t="inlineStr">
        <is>
          <t>Cover</t>
        </is>
      </c>
      <c r="C23" s="5" t="inlineStr">
        <is>
          <t>Reinsurer expenses</t>
        </is>
      </c>
      <c r="D23" s="5" t="inlineStr">
        <is>
          <t>Brokerage</t>
        </is>
      </c>
      <c r="E23" s="5" t="inlineStr">
        <is>
          <t>Profit margin</t>
        </is>
      </c>
      <c r="F23" s="5" t="inlineStr">
        <is>
          <t>Premium tax</t>
        </is>
      </c>
      <c r="G23" s="5" t="inlineStr">
        <is>
          <t>Risk load k x SD</t>
        </is>
      </c>
      <c r="H23" s="5" t="inlineStr">
        <is>
          <t>Total %</t>
        </is>
      </c>
    </row>
    <row r="24">
      <c r="B24" s="9" t="inlineStr">
        <is>
          <t>PP</t>
        </is>
      </c>
      <c r="C24" s="19">
        <f>SUMIFS(lo_reinsurer_expense_pct,lo_cover,$B24)</f>
        <v/>
      </c>
      <c r="D24" s="19">
        <f>SUMIFS(lo_brokerage_pct,lo_cover,$B24)</f>
        <v/>
      </c>
      <c r="E24" s="19">
        <f>SUMIFS(lo_profit_margin_pct,lo_cover,$B24)</f>
        <v/>
      </c>
      <c r="F24" s="19">
        <f>SUMIFS(lo_premium_tax_pct,lo_cover,$B24)</f>
        <v/>
      </c>
      <c r="G24" s="20">
        <f>SUMIFS(lo_risk_load_k,lo_cover,$B24)</f>
        <v/>
      </c>
      <c r="H24" s="19">
        <f>SUM(C24:F24)</f>
        <v/>
      </c>
    </row>
    <row r="25">
      <c r="B25" s="9" t="inlineStr">
        <is>
          <t>EV</t>
        </is>
      </c>
      <c r="C25" s="19">
        <f>SUMIFS(lo_reinsurer_expense_pct,lo_cover,$B25)</f>
        <v/>
      </c>
      <c r="D25" s="19">
        <f>SUMIFS(lo_brokerage_pct,lo_cover,$B25)</f>
        <v/>
      </c>
      <c r="E25" s="19">
        <f>SUMIFS(lo_profit_margin_pct,lo_cover,$B25)</f>
        <v/>
      </c>
      <c r="F25" s="19">
        <f>SUMIFS(lo_premium_tax_pct,lo_cover,$B25)</f>
        <v/>
      </c>
      <c r="G25" s="20">
        <f>SUMIFS(lo_risk_load_k,lo_cover,$B25)</f>
        <v/>
      </c>
      <c r="H25" s="19">
        <f>SUM(C25:F25)</f>
        <v/>
      </c>
    </row>
    <row r="26">
      <c r="B26" s="9" t="inlineStr">
        <is>
          <t>SL</t>
        </is>
      </c>
      <c r="C26" s="19">
        <f>SUMIFS(lo_reinsurer_expense_pct,lo_cover,$B26)</f>
        <v/>
      </c>
      <c r="D26" s="19">
        <f>SUMIFS(lo_brokerage_pct,lo_cover,$B26)</f>
        <v/>
      </c>
      <c r="E26" s="19">
        <f>SUMIFS(lo_profit_margin_pct,lo_cover,$B26)</f>
        <v/>
      </c>
      <c r="F26" s="19">
        <f>SUMIFS(lo_premium_tax_pct,lo_cover,$B26)</f>
        <v/>
      </c>
      <c r="G26" s="20">
        <f>SUMIFS(lo_risk_load_k,lo_cover,$B26)</f>
        <v/>
      </c>
      <c r="H26" s="19">
        <f>SUM(C26:F26)</f>
        <v/>
      </c>
    </row>
    <row r="28">
      <c r="B28" s="9" t="inlineStr">
        <is>
          <t>Overrides (blank = Control value)</t>
        </is>
      </c>
    </row>
    <row r="29" ht="42" customHeight="1">
      <c r="B29" s="5" t="inlineStr">
        <is>
          <t>Cover</t>
        </is>
      </c>
      <c r="C29" s="5" t="inlineStr">
        <is>
          <t>Reinsurer expenses</t>
        </is>
      </c>
      <c r="D29" s="5" t="inlineStr">
        <is>
          <t>Brokerage</t>
        </is>
      </c>
      <c r="E29" s="5" t="inlineStr">
        <is>
          <t>Profit margin</t>
        </is>
      </c>
      <c r="F29" s="5" t="inlineStr">
        <is>
          <t>Premium tax</t>
        </is>
      </c>
      <c r="G29" s="5" t="inlineStr">
        <is>
          <t>Risk load k x SD</t>
        </is>
      </c>
    </row>
    <row r="30">
      <c r="B30" s="9" t="inlineStr">
        <is>
          <t>PP</t>
        </is>
      </c>
      <c r="C30" s="21" t="n"/>
      <c r="D30" s="21" t="n"/>
      <c r="E30" s="21" t="n"/>
      <c r="F30" s="21" t="n"/>
      <c r="G30" s="22" t="n"/>
    </row>
    <row r="31">
      <c r="B31" s="9" t="inlineStr">
        <is>
          <t>EV</t>
        </is>
      </c>
      <c r="C31" s="21" t="n"/>
      <c r="D31" s="21" t="n"/>
      <c r="E31" s="21" t="n"/>
      <c r="F31" s="21" t="n"/>
      <c r="G31" s="22" t="n"/>
    </row>
    <row r="32">
      <c r="B32" s="9" t="inlineStr">
        <is>
          <t>SL</t>
        </is>
      </c>
      <c r="C32" s="21" t="n"/>
      <c r="D32" s="21" t="n"/>
      <c r="E32" s="21" t="n"/>
      <c r="F32" s="21" t="n"/>
      <c r="G32" s="22" t="n"/>
    </row>
    <row r="34">
      <c r="B34" s="9" t="inlineStr">
        <is>
          <t>Loadings used</t>
        </is>
      </c>
    </row>
    <row r="35" ht="42" customHeight="1">
      <c r="B35" s="5" t="inlineStr">
        <is>
          <t>Cover</t>
        </is>
      </c>
      <c r="C35" s="5" t="inlineStr">
        <is>
          <t>Reinsurer expenses</t>
        </is>
      </c>
      <c r="D35" s="5" t="inlineStr">
        <is>
          <t>Brokerage</t>
        </is>
      </c>
      <c r="E35" s="5" t="inlineStr">
        <is>
          <t>Profit margin</t>
        </is>
      </c>
      <c r="F35" s="5" t="inlineStr">
        <is>
          <t>Premium tax</t>
        </is>
      </c>
      <c r="G35" s="5" t="inlineStr">
        <is>
          <t>Risk load k x SD</t>
        </is>
      </c>
      <c r="H35" s="5" t="inlineStr">
        <is>
          <t>Total %</t>
        </is>
      </c>
    </row>
    <row r="36">
      <c r="B36" s="9" t="inlineStr">
        <is>
          <t>PP</t>
        </is>
      </c>
      <c r="C36" s="23">
        <f>IF(C30="",C24,C30)</f>
        <v/>
      </c>
      <c r="D36" s="23">
        <f>IF(D30="",D24,D30)</f>
        <v/>
      </c>
      <c r="E36" s="23">
        <f>IF(E30="",E24,E30)</f>
        <v/>
      </c>
      <c r="F36" s="23">
        <f>IF(F30="",F24,F30)</f>
        <v/>
      </c>
      <c r="G36" s="24">
        <f>IF(G30="",G24,G30)</f>
        <v/>
      </c>
      <c r="H36" s="23">
        <f>SUM(C36:F36)</f>
        <v/>
      </c>
    </row>
    <row r="37">
      <c r="B37" s="9" t="inlineStr">
        <is>
          <t>EV</t>
        </is>
      </c>
      <c r="C37" s="23">
        <f>IF(C31="",C25,C31)</f>
        <v/>
      </c>
      <c r="D37" s="23">
        <f>IF(D31="",D25,D31)</f>
        <v/>
      </c>
      <c r="E37" s="23">
        <f>IF(E31="",E25,E31)</f>
        <v/>
      </c>
      <c r="F37" s="23">
        <f>IF(F31="",F25,F31)</f>
        <v/>
      </c>
      <c r="G37" s="24">
        <f>IF(G31="",G25,G31)</f>
        <v/>
      </c>
      <c r="H37" s="23">
        <f>SUM(C37:F37)</f>
        <v/>
      </c>
    </row>
    <row r="38">
      <c r="B38" s="9" t="inlineStr">
        <is>
          <t>SL</t>
        </is>
      </c>
      <c r="C38" s="23">
        <f>IF(C32="",C26,C32)</f>
        <v/>
      </c>
      <c r="D38" s="23">
        <f>IF(D32="",D26,D32)</f>
        <v/>
      </c>
      <c r="E38" s="23">
        <f>IF(E32="",E26,E32)</f>
        <v/>
      </c>
      <c r="F38" s="23">
        <f>IF(F32="",F26,F32)</f>
        <v/>
      </c>
      <c r="G38" s="24">
        <f>IF(G32="",G26,G32)</f>
        <v/>
      </c>
      <c r="H38" s="23">
        <f>SUM(C38:F38)</f>
        <v/>
      </c>
    </row>
    <row r="40">
      <c r="B40" s="2" t="inlineStr">
        <is>
          <t>Premium = (expected loss + k x SD) / (1 - total %). With reinstatements, that is the expected total premium; the upfront premium P solves P x (1 + expected reinstatement usage) = target.</t>
        </is>
      </c>
    </row>
  </sheetData>
  <dataValidations count="2">
    <dataValidation sqref="D16" showDropDown="0" showInputMessage="0" showErrorMessage="0" allowBlank="1" type="list">
      <formula1>"BLENDED,STOCHASTIC,DETERMINISTIC"</formula1>
    </dataValidation>
    <dataValidation sqref="D7" showDropDown="0" showInputMessage="0" showErrorMessage="0" allowBlank="1" type="list">
      <formula1>"QUOTE,USD"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Indicative reinsurance premium by option</t>
        </is>
      </c>
    </row>
    <row r="2">
      <c r="A2" s="2" t="inlineStr">
        <is>
          <t>Quote currency, full units. Rows show only the options in the run. E[L] by layer is summed per option; the SD is that of the option's total annual recovery.</t>
        </is>
      </c>
    </row>
    <row r="5" ht="42" customHeight="1">
      <c r="A5" s="5" t="inlineStr">
        <is>
          <t>Cover</t>
        </is>
      </c>
      <c r="B5" s="5" t="inlineStr">
        <is>
          <t>Option</t>
        </is>
      </c>
      <c r="C5" s="5" t="inlineStr">
        <is>
          <t>Structure key</t>
        </is>
      </c>
      <c r="D5" s="5" t="inlineStr">
        <is>
          <t>Present</t>
        </is>
      </c>
      <c r="E5" s="5" t="inlineStr">
        <is>
          <t>Label</t>
        </is>
      </c>
      <c r="F5" s="5" t="inlineStr">
        <is>
          <t>E[L] deterministic</t>
        </is>
      </c>
      <c r="G5" s="5" t="inlineStr">
        <is>
          <t>E[L] stochastic</t>
        </is>
      </c>
      <c r="H5" s="5" t="inlineStr">
        <is>
          <t>E[L] blended</t>
        </is>
      </c>
      <c r="I5" s="5" t="inlineStr">
        <is>
          <t>E[L] used</t>
        </is>
      </c>
      <c r="J5" s="5" t="inlineStr">
        <is>
          <t>SD of recoveries</t>
        </is>
      </c>
      <c r="K5" s="5" t="inlineStr">
        <is>
          <t>k</t>
        </is>
      </c>
      <c r="L5" s="5" t="inlineStr">
        <is>
          <t>Total loading %</t>
        </is>
      </c>
      <c r="M5" s="5" t="inlineStr">
        <is>
          <t>Target premium (incl. reinst.)</t>
        </is>
      </c>
      <c r="N5" s="5" t="inlineStr">
        <is>
          <t>E[reinstatement usage]</t>
        </is>
      </c>
      <c r="O5" s="5" t="inlineStr">
        <is>
          <t>Upfront annual premium</t>
        </is>
      </c>
      <c r="P5" s="5" t="inlineStr">
        <is>
          <t>E[reinstatement premium]</t>
        </is>
      </c>
      <c r="Q5" s="5" t="inlineStr">
        <is>
          <t>Rate per life</t>
        </is>
      </c>
      <c r="R5" s="5" t="inlineStr">
        <is>
          <t>Rate % EPI</t>
        </is>
      </c>
      <c r="S5" s="5" t="inlineStr">
        <is>
          <t>Exposed lives</t>
        </is>
      </c>
      <c r="T5" s="5" t="inlineStr">
        <is>
          <t>Premium per exposed life</t>
        </is>
      </c>
      <c r="U5" s="5" t="inlineStr">
        <is>
          <t>Premium per reference lives</t>
        </is>
      </c>
      <c r="V5" s="5" t="inlineStr">
        <is>
          <t>Expected recoveries p.a.</t>
        </is>
      </c>
      <c r="W5" s="5" t="inlineStr">
        <is>
          <t>Expected cost of cover</t>
        </is>
      </c>
      <c r="X5" s="5" t="inlineStr">
        <is>
          <t>P(recoveries &gt; premium)</t>
        </is>
      </c>
      <c r="Y5" s="5" t="inlineStr">
        <is>
          <t>Recoveries exceed premium 1 in N yrs</t>
        </is>
      </c>
      <c r="Z5" s="5" t="inlineStr">
        <is>
          <t>Upfront premium layer 1</t>
        </is>
      </c>
      <c r="AA5" s="5" t="inlineStr">
        <is>
          <t>Upfront premium layer 2</t>
        </is>
      </c>
    </row>
    <row r="6">
      <c r="A6" s="9" t="inlineStr">
        <is>
          <t>PP</t>
        </is>
      </c>
      <c r="B6" s="6" t="n">
        <v>1</v>
      </c>
      <c r="C6" s="25">
        <f>"1 PP "&amp;B6</f>
        <v/>
      </c>
      <c r="D6" s="6">
        <f>COUNTIF(ss_struct_key,C6)&gt;0</f>
        <v/>
      </c>
      <c r="E6" s="6">
        <f>IF(D6,INDEX(ss_l_label,MATCH(C6,ss_struct_key,0)),"")</f>
        <v/>
      </c>
      <c r="F6" s="26">
        <f>IF(D6,SUMIFS(ps_expected_cost_det,ps_option_id,B6),"")</f>
        <v/>
      </c>
      <c r="G6" s="26">
        <f>IF(D6,SUMIFS(ps_mean_recovery,ps_option_id,B6),"")</f>
        <v/>
      </c>
      <c r="H6" s="26">
        <f>IF(D6,SUMIFS(ps_expected_loss_blended,ps_option_id,B6),"")</f>
        <v/>
      </c>
      <c r="I6" s="18">
        <f>IF(D6,IF(Inputs!$E$16="DETERMINISTIC",F6,IF(Inputs!$E$16="STOCHASTIC",G6,H6)),"")</f>
        <v/>
      </c>
      <c r="J6" s="26">
        <f>IF(D6,SUMIFS(ss_sd_recovery,ss_struct_key,C6),"")</f>
        <v/>
      </c>
      <c r="K6" s="27">
        <f>Inputs!$G$36</f>
        <v/>
      </c>
      <c r="L6" s="28">
        <f>Inputs!$H$36</f>
        <v/>
      </c>
      <c r="M6" s="26">
        <f>IF(D6,(I6+K6*J6)/(1-L6),"")</f>
        <v/>
      </c>
      <c r="N6" s="29">
        <f>IF(D6,IFERROR(SUMPRODUCT((ps_option_id=B6)*ps_mean_recovery*ps_mean_reinst_usage)/SUMIFS(ps_mean_recovery,ps_option_id,B6),0),"")</f>
        <v/>
      </c>
      <c r="O6" s="18">
        <f>IF(D6,M6/(1+N6),"")</f>
        <v/>
      </c>
      <c r="P6" s="26">
        <f>IF(D6,O6*N6,"")</f>
        <v/>
      </c>
      <c r="Q6" s="30">
        <f>IF(D6,O6/Inputs!$E$10,"")</f>
        <v/>
      </c>
      <c r="R6" s="31">
        <f>IF(D6,O6/Inputs!$E$11,"")</f>
        <v/>
      </c>
      <c r="S6" s="32">
        <f>IF(D6,SUMIFS(el_exposed_lives,el_cover,A6,el_option_id,B6,el_layer,1),"")</f>
        <v/>
      </c>
      <c r="T6" s="30">
        <f>IF(D6,IFERROR(O6/S6,0),"")</f>
        <v/>
      </c>
      <c r="U6" s="26">
        <f>IF(D6,T6*Inputs!$E$9,"")</f>
        <v/>
      </c>
      <c r="V6" s="26">
        <f>IF(D6,I6,"")</f>
        <v/>
      </c>
      <c r="W6" s="26">
        <f>IF(D6,O6+P6-I6,"")</f>
        <v/>
      </c>
      <c r="X6" s="33">
        <f>IF(D6,COUNTIFS(sq_struct_key,C6,sq_recovery,"&gt;"&amp;O6)/MAX(1,COUNTIF(sq_struct_key,C6)),"")</f>
        <v/>
      </c>
      <c r="Y6" s="34">
        <f>IF(D6,IF(X6&gt;0,1/X6,"&gt; 999"),"")</f>
        <v/>
      </c>
      <c r="Z6" s="26">
        <f>IF(D6,IFERROR(O6*SUMIFS(ps_mean_recovery,ps_option_id,B6,ps_layer,1)/SUMIFS(ps_mean_recovery,ps_option_id,B6),O6),"")</f>
        <v/>
      </c>
      <c r="AA6" s="26">
        <f>IF(D6,O6-Z6,"")</f>
        <v/>
      </c>
    </row>
    <row r="7">
      <c r="A7" s="9" t="inlineStr">
        <is>
          <t>PP</t>
        </is>
      </c>
      <c r="B7" s="6" t="n">
        <v>2</v>
      </c>
      <c r="C7" s="25">
        <f>"1 PP "&amp;B7</f>
        <v/>
      </c>
      <c r="D7" s="6">
        <f>COUNTIF(ss_struct_key,C7)&gt;0</f>
        <v/>
      </c>
      <c r="E7" s="6">
        <f>IF(D7,INDEX(ss_l_label,MATCH(C7,ss_struct_key,0)),"")</f>
        <v/>
      </c>
      <c r="F7" s="26">
        <f>IF(D7,SUMIFS(ps_expected_cost_det,ps_option_id,B7),"")</f>
        <v/>
      </c>
      <c r="G7" s="26">
        <f>IF(D7,SUMIFS(ps_mean_recovery,ps_option_id,B7),"")</f>
        <v/>
      </c>
      <c r="H7" s="26">
        <f>IF(D7,SUMIFS(ps_expected_loss_blended,ps_option_id,B7),"")</f>
        <v/>
      </c>
      <c r="I7" s="18">
        <f>IF(D7,IF(Inputs!$E$16="DETERMINISTIC",F7,IF(Inputs!$E$16="STOCHASTIC",G7,H7)),"")</f>
        <v/>
      </c>
      <c r="J7" s="26">
        <f>IF(D7,SUMIFS(ss_sd_recovery,ss_struct_key,C7),"")</f>
        <v/>
      </c>
      <c r="K7" s="27">
        <f>Inputs!$G$36</f>
        <v/>
      </c>
      <c r="L7" s="28">
        <f>Inputs!$H$36</f>
        <v/>
      </c>
      <c r="M7" s="26">
        <f>IF(D7,(I7+K7*J7)/(1-L7),"")</f>
        <v/>
      </c>
      <c r="N7" s="29">
        <f>IF(D7,IFERROR(SUMPRODUCT((ps_option_id=B7)*ps_mean_recovery*ps_mean_reinst_usage)/SUMIFS(ps_mean_recovery,ps_option_id,B7),0),"")</f>
        <v/>
      </c>
      <c r="O7" s="18">
        <f>IF(D7,M7/(1+N7),"")</f>
        <v/>
      </c>
      <c r="P7" s="26">
        <f>IF(D7,O7*N7,"")</f>
        <v/>
      </c>
      <c r="Q7" s="30">
        <f>IF(D7,O7/Inputs!$E$10,"")</f>
        <v/>
      </c>
      <c r="R7" s="31">
        <f>IF(D7,O7/Inputs!$E$11,"")</f>
        <v/>
      </c>
      <c r="S7" s="32">
        <f>IF(D7,SUMIFS(el_exposed_lives,el_cover,A7,el_option_id,B7,el_layer,1),"")</f>
        <v/>
      </c>
      <c r="T7" s="30">
        <f>IF(D7,IFERROR(O7/S7,0),"")</f>
        <v/>
      </c>
      <c r="U7" s="26">
        <f>IF(D7,T7*Inputs!$E$9,"")</f>
        <v/>
      </c>
      <c r="V7" s="26">
        <f>IF(D7,I7,"")</f>
        <v/>
      </c>
      <c r="W7" s="26">
        <f>IF(D7,O7+P7-I7,"")</f>
        <v/>
      </c>
      <c r="X7" s="33">
        <f>IF(D7,COUNTIFS(sq_struct_key,C7,sq_recovery,"&gt;"&amp;O7)/MAX(1,COUNTIF(sq_struct_key,C7)),"")</f>
        <v/>
      </c>
      <c r="Y7" s="34">
        <f>IF(D7,IF(X7&gt;0,1/X7,"&gt; 999"),"")</f>
        <v/>
      </c>
      <c r="Z7" s="26">
        <f>IF(D7,IFERROR(O7*SUMIFS(ps_mean_recovery,ps_option_id,B7,ps_layer,1)/SUMIFS(ps_mean_recovery,ps_option_id,B7),O7),"")</f>
        <v/>
      </c>
      <c r="AA7" s="26">
        <f>IF(D7,O7-Z7,"")</f>
        <v/>
      </c>
    </row>
    <row r="8">
      <c r="A8" s="9" t="inlineStr">
        <is>
          <t>PP</t>
        </is>
      </c>
      <c r="B8" s="6" t="n">
        <v>3</v>
      </c>
      <c r="C8" s="25">
        <f>"1 PP "&amp;B8</f>
        <v/>
      </c>
      <c r="D8" s="6">
        <f>COUNTIF(ss_struct_key,C8)&gt;0</f>
        <v/>
      </c>
      <c r="E8" s="6">
        <f>IF(D8,INDEX(ss_l_label,MATCH(C8,ss_struct_key,0)),"")</f>
        <v/>
      </c>
      <c r="F8" s="26">
        <f>IF(D8,SUMIFS(ps_expected_cost_det,ps_option_id,B8),"")</f>
        <v/>
      </c>
      <c r="G8" s="26">
        <f>IF(D8,SUMIFS(ps_mean_recovery,ps_option_id,B8),"")</f>
        <v/>
      </c>
      <c r="H8" s="26">
        <f>IF(D8,SUMIFS(ps_expected_loss_blended,ps_option_id,B8),"")</f>
        <v/>
      </c>
      <c r="I8" s="18">
        <f>IF(D8,IF(Inputs!$E$16="DETERMINISTIC",F8,IF(Inputs!$E$16="STOCHASTIC",G8,H8)),"")</f>
        <v/>
      </c>
      <c r="J8" s="26">
        <f>IF(D8,SUMIFS(ss_sd_recovery,ss_struct_key,C8),"")</f>
        <v/>
      </c>
      <c r="K8" s="27">
        <f>Inputs!$G$36</f>
        <v/>
      </c>
      <c r="L8" s="28">
        <f>Inputs!$H$36</f>
        <v/>
      </c>
      <c r="M8" s="26">
        <f>IF(D8,(I8+K8*J8)/(1-L8),"")</f>
        <v/>
      </c>
      <c r="N8" s="29">
        <f>IF(D8,IFERROR(SUMPRODUCT((ps_option_id=B8)*ps_mean_recovery*ps_mean_reinst_usage)/SUMIFS(ps_mean_recovery,ps_option_id,B8),0),"")</f>
        <v/>
      </c>
      <c r="O8" s="18">
        <f>IF(D8,M8/(1+N8),"")</f>
        <v/>
      </c>
      <c r="P8" s="26">
        <f>IF(D8,O8*N8,"")</f>
        <v/>
      </c>
      <c r="Q8" s="30">
        <f>IF(D8,O8/Inputs!$E$10,"")</f>
        <v/>
      </c>
      <c r="R8" s="31">
        <f>IF(D8,O8/Inputs!$E$11,"")</f>
        <v/>
      </c>
      <c r="S8" s="32">
        <f>IF(D8,SUMIFS(el_exposed_lives,el_cover,A8,el_option_id,B8,el_layer,1),"")</f>
        <v/>
      </c>
      <c r="T8" s="30">
        <f>IF(D8,IFERROR(O8/S8,0),"")</f>
        <v/>
      </c>
      <c r="U8" s="26">
        <f>IF(D8,T8*Inputs!$E$9,"")</f>
        <v/>
      </c>
      <c r="V8" s="26">
        <f>IF(D8,I8,"")</f>
        <v/>
      </c>
      <c r="W8" s="26">
        <f>IF(D8,O8+P8-I8,"")</f>
        <v/>
      </c>
      <c r="X8" s="33">
        <f>IF(D8,COUNTIFS(sq_struct_key,C8,sq_recovery,"&gt;"&amp;O8)/MAX(1,COUNTIF(sq_struct_key,C8)),"")</f>
        <v/>
      </c>
      <c r="Y8" s="34">
        <f>IF(D8,IF(X8&gt;0,1/X8,"&gt; 999"),"")</f>
        <v/>
      </c>
      <c r="Z8" s="26">
        <f>IF(D8,IFERROR(O8*SUMIFS(ps_mean_recovery,ps_option_id,B8,ps_layer,1)/SUMIFS(ps_mean_recovery,ps_option_id,B8),O8),"")</f>
        <v/>
      </c>
      <c r="AA8" s="26">
        <f>IF(D8,O8-Z8,"")</f>
        <v/>
      </c>
    </row>
    <row r="9">
      <c r="A9" s="9" t="inlineStr">
        <is>
          <t>PP</t>
        </is>
      </c>
      <c r="B9" s="6" t="n">
        <v>4</v>
      </c>
      <c r="C9" s="25">
        <f>"1 PP "&amp;B9</f>
        <v/>
      </c>
      <c r="D9" s="6">
        <f>COUNTIF(ss_struct_key,C9)&gt;0</f>
        <v/>
      </c>
      <c r="E9" s="6">
        <f>IF(D9,INDEX(ss_l_label,MATCH(C9,ss_struct_key,0)),"")</f>
        <v/>
      </c>
      <c r="F9" s="26">
        <f>IF(D9,SUMIFS(ps_expected_cost_det,ps_option_id,B9),"")</f>
        <v/>
      </c>
      <c r="G9" s="26">
        <f>IF(D9,SUMIFS(ps_mean_recovery,ps_option_id,B9),"")</f>
        <v/>
      </c>
      <c r="H9" s="26">
        <f>IF(D9,SUMIFS(ps_expected_loss_blended,ps_option_id,B9),"")</f>
        <v/>
      </c>
      <c r="I9" s="18">
        <f>IF(D9,IF(Inputs!$E$16="DETERMINISTIC",F9,IF(Inputs!$E$16="STOCHASTIC",G9,H9)),"")</f>
        <v/>
      </c>
      <c r="J9" s="26">
        <f>IF(D9,SUMIFS(ss_sd_recovery,ss_struct_key,C9),"")</f>
        <v/>
      </c>
      <c r="K9" s="27">
        <f>Inputs!$G$36</f>
        <v/>
      </c>
      <c r="L9" s="28">
        <f>Inputs!$H$36</f>
        <v/>
      </c>
      <c r="M9" s="26">
        <f>IF(D9,(I9+K9*J9)/(1-L9),"")</f>
        <v/>
      </c>
      <c r="N9" s="29">
        <f>IF(D9,IFERROR(SUMPRODUCT((ps_option_id=B9)*ps_mean_recovery*ps_mean_reinst_usage)/SUMIFS(ps_mean_recovery,ps_option_id,B9),0),"")</f>
        <v/>
      </c>
      <c r="O9" s="18">
        <f>IF(D9,M9/(1+N9),"")</f>
        <v/>
      </c>
      <c r="P9" s="26">
        <f>IF(D9,O9*N9,"")</f>
        <v/>
      </c>
      <c r="Q9" s="30">
        <f>IF(D9,O9/Inputs!$E$10,"")</f>
        <v/>
      </c>
      <c r="R9" s="31">
        <f>IF(D9,O9/Inputs!$E$11,"")</f>
        <v/>
      </c>
      <c r="S9" s="32">
        <f>IF(D9,SUMIFS(el_exposed_lives,el_cover,A9,el_option_id,B9,el_layer,1),"")</f>
        <v/>
      </c>
      <c r="T9" s="30">
        <f>IF(D9,IFERROR(O9/S9,0),"")</f>
        <v/>
      </c>
      <c r="U9" s="26">
        <f>IF(D9,T9*Inputs!$E$9,"")</f>
        <v/>
      </c>
      <c r="V9" s="26">
        <f>IF(D9,I9,"")</f>
        <v/>
      </c>
      <c r="W9" s="26">
        <f>IF(D9,O9+P9-I9,"")</f>
        <v/>
      </c>
      <c r="X9" s="33">
        <f>IF(D9,COUNTIFS(sq_struct_key,C9,sq_recovery,"&gt;"&amp;O9)/MAX(1,COUNTIF(sq_struct_key,C9)),"")</f>
        <v/>
      </c>
      <c r="Y9" s="34">
        <f>IF(D9,IF(X9&gt;0,1/X9,"&gt; 999"),"")</f>
        <v/>
      </c>
      <c r="Z9" s="26">
        <f>IF(D9,IFERROR(O9*SUMIFS(ps_mean_recovery,ps_option_id,B9,ps_layer,1)/SUMIFS(ps_mean_recovery,ps_option_id,B9),O9),"")</f>
        <v/>
      </c>
      <c r="AA9" s="26">
        <f>IF(D9,O9-Z9,"")</f>
        <v/>
      </c>
    </row>
    <row r="10">
      <c r="A10" s="9" t="inlineStr">
        <is>
          <t>EV</t>
        </is>
      </c>
      <c r="B10" s="6" t="n">
        <v>1</v>
      </c>
      <c r="C10" s="25">
        <f>"3 EV "&amp;B10</f>
        <v/>
      </c>
      <c r="D10" s="6">
        <f>COUNTIF(ss_struct_key,C10)&gt;0</f>
        <v/>
      </c>
      <c r="E10" s="6">
        <f>IF(D10,INDEX(ss_l_label,MATCH(C10,ss_struct_key,0)),"")</f>
        <v/>
      </c>
      <c r="F10" s="26">
        <f>IF(D10,SUMIFS(es_expected_cost_det,es_option_id,B10),"")</f>
        <v/>
      </c>
      <c r="G10" s="26">
        <f>IF(D10,SUMIFS(es_mean_recovery,es_option_id,B10),"")</f>
        <v/>
      </c>
      <c r="H10" s="26">
        <f>IF(D10,SUMIFS(es_expected_loss_blended,es_option_id,B10),"")</f>
        <v/>
      </c>
      <c r="I10" s="18">
        <f>IF(D10,IF(Inputs!$E$16="DETERMINISTIC",F10,IF(Inputs!$E$16="STOCHASTIC",G10,H10)),"")</f>
        <v/>
      </c>
      <c r="J10" s="26">
        <f>IF(D10,SUMIFS(ss_sd_recovery,ss_struct_key,C10),"")</f>
        <v/>
      </c>
      <c r="K10" s="27">
        <f>Inputs!$G$37</f>
        <v/>
      </c>
      <c r="L10" s="28">
        <f>Inputs!$H$37</f>
        <v/>
      </c>
      <c r="M10" s="26">
        <f>IF(D10,(I10+K10*J10)/(1-L10),"")</f>
        <v/>
      </c>
      <c r="N10" s="29">
        <f>IF(D10,IFERROR(SUMPRODUCT((es_option_id=B10)*es_mean_recovery*es_mean_reinst_usage)/SUMIFS(es_mean_recovery,es_option_id,B10),0),"")</f>
        <v/>
      </c>
      <c r="O10" s="18">
        <f>IF(D10,M10/(1+N10),"")</f>
        <v/>
      </c>
      <c r="P10" s="26">
        <f>IF(D10,O10*N10,"")</f>
        <v/>
      </c>
      <c r="Q10" s="30">
        <f>IF(D10,O10/Inputs!$E$10,"")</f>
        <v/>
      </c>
      <c r="R10" s="31">
        <f>IF(D10,O10/Inputs!$E$11,"")</f>
        <v/>
      </c>
      <c r="S10" s="32">
        <f>IF(D10,SUMIFS(el_exposed_lives,el_cover,A10,el_option_id,B10,el_layer,1),"")</f>
        <v/>
      </c>
      <c r="T10" s="30">
        <f>IF(D10,IFERROR(O10/S10,0),"")</f>
        <v/>
      </c>
      <c r="U10" s="26">
        <f>IF(D10,T10*Inputs!$E$9,"")</f>
        <v/>
      </c>
      <c r="V10" s="26">
        <f>IF(D10,I10,"")</f>
        <v/>
      </c>
      <c r="W10" s="26">
        <f>IF(D10,O10+P10-I10,"")</f>
        <v/>
      </c>
      <c r="X10" s="33">
        <f>IF(D10,COUNTIFS(sq_struct_key,C10,sq_recovery,"&gt;"&amp;O10)/MAX(1,COUNTIF(sq_struct_key,C10)),"")</f>
        <v/>
      </c>
      <c r="Y10" s="34">
        <f>IF(D10,IF(X10&gt;0,1/X10,"&gt; 999"),"")</f>
        <v/>
      </c>
      <c r="Z10" s="26">
        <f>IF(D10,IFERROR(O10*SUMIFS(es_mean_recovery,es_option_id,B10,es_layer,1)/SUMIFS(es_mean_recovery,es_option_id,B10),O10),"")</f>
        <v/>
      </c>
      <c r="AA10" s="26">
        <f>IF(D10,O10-Z10,"")</f>
        <v/>
      </c>
    </row>
    <row r="11">
      <c r="A11" s="9" t="inlineStr">
        <is>
          <t>EV</t>
        </is>
      </c>
      <c r="B11" s="6" t="n">
        <v>2</v>
      </c>
      <c r="C11" s="25">
        <f>"3 EV "&amp;B11</f>
        <v/>
      </c>
      <c r="D11" s="6">
        <f>COUNTIF(ss_struct_key,C11)&gt;0</f>
        <v/>
      </c>
      <c r="E11" s="6">
        <f>IF(D11,INDEX(ss_l_label,MATCH(C11,ss_struct_key,0)),"")</f>
        <v/>
      </c>
      <c r="F11" s="26">
        <f>IF(D11,SUMIFS(es_expected_cost_det,es_option_id,B11),"")</f>
        <v/>
      </c>
      <c r="G11" s="26">
        <f>IF(D11,SUMIFS(es_mean_recovery,es_option_id,B11),"")</f>
        <v/>
      </c>
      <c r="H11" s="26">
        <f>IF(D11,SUMIFS(es_expected_loss_blended,es_option_id,B11),"")</f>
        <v/>
      </c>
      <c r="I11" s="18">
        <f>IF(D11,IF(Inputs!$E$16="DETERMINISTIC",F11,IF(Inputs!$E$16="STOCHASTIC",G11,H11)),"")</f>
        <v/>
      </c>
      <c r="J11" s="26">
        <f>IF(D11,SUMIFS(ss_sd_recovery,ss_struct_key,C11),"")</f>
        <v/>
      </c>
      <c r="K11" s="27">
        <f>Inputs!$G$37</f>
        <v/>
      </c>
      <c r="L11" s="28">
        <f>Inputs!$H$37</f>
        <v/>
      </c>
      <c r="M11" s="26">
        <f>IF(D11,(I11+K11*J11)/(1-L11),"")</f>
        <v/>
      </c>
      <c r="N11" s="29">
        <f>IF(D11,IFERROR(SUMPRODUCT((es_option_id=B11)*es_mean_recovery*es_mean_reinst_usage)/SUMIFS(es_mean_recovery,es_option_id,B11),0),"")</f>
        <v/>
      </c>
      <c r="O11" s="18">
        <f>IF(D11,M11/(1+N11),"")</f>
        <v/>
      </c>
      <c r="P11" s="26">
        <f>IF(D11,O11*N11,"")</f>
        <v/>
      </c>
      <c r="Q11" s="30">
        <f>IF(D11,O11/Inputs!$E$10,"")</f>
        <v/>
      </c>
      <c r="R11" s="31">
        <f>IF(D11,O11/Inputs!$E$11,"")</f>
        <v/>
      </c>
      <c r="S11" s="32">
        <f>IF(D11,SUMIFS(el_exposed_lives,el_cover,A11,el_option_id,B11,el_layer,1),"")</f>
        <v/>
      </c>
      <c r="T11" s="30">
        <f>IF(D11,IFERROR(O11/S11,0),"")</f>
        <v/>
      </c>
      <c r="U11" s="26">
        <f>IF(D11,T11*Inputs!$E$9,"")</f>
        <v/>
      </c>
      <c r="V11" s="26">
        <f>IF(D11,I11,"")</f>
        <v/>
      </c>
      <c r="W11" s="26">
        <f>IF(D11,O11+P11-I11,"")</f>
        <v/>
      </c>
      <c r="X11" s="33">
        <f>IF(D11,COUNTIFS(sq_struct_key,C11,sq_recovery,"&gt;"&amp;O11)/MAX(1,COUNTIF(sq_struct_key,C11)),"")</f>
        <v/>
      </c>
      <c r="Y11" s="34">
        <f>IF(D11,IF(X11&gt;0,1/X11,"&gt; 999"),"")</f>
        <v/>
      </c>
      <c r="Z11" s="26">
        <f>IF(D11,IFERROR(O11*SUMIFS(es_mean_recovery,es_option_id,B11,es_layer,1)/SUMIFS(es_mean_recovery,es_option_id,B11),O11),"")</f>
        <v/>
      </c>
      <c r="AA11" s="26">
        <f>IF(D11,O11-Z11,"")</f>
        <v/>
      </c>
    </row>
    <row r="12">
      <c r="A12" s="9" t="inlineStr">
        <is>
          <t>EV</t>
        </is>
      </c>
      <c r="B12" s="6" t="n">
        <v>3</v>
      </c>
      <c r="C12" s="25">
        <f>"3 EV "&amp;B12</f>
        <v/>
      </c>
      <c r="D12" s="6">
        <f>COUNTIF(ss_struct_key,C12)&gt;0</f>
        <v/>
      </c>
      <c r="E12" s="6">
        <f>IF(D12,INDEX(ss_l_label,MATCH(C12,ss_struct_key,0)),"")</f>
        <v/>
      </c>
      <c r="F12" s="26">
        <f>IF(D12,SUMIFS(es_expected_cost_det,es_option_id,B12),"")</f>
        <v/>
      </c>
      <c r="G12" s="26">
        <f>IF(D12,SUMIFS(es_mean_recovery,es_option_id,B12),"")</f>
        <v/>
      </c>
      <c r="H12" s="26">
        <f>IF(D12,SUMIFS(es_expected_loss_blended,es_option_id,B12),"")</f>
        <v/>
      </c>
      <c r="I12" s="18">
        <f>IF(D12,IF(Inputs!$E$16="DETERMINISTIC",F12,IF(Inputs!$E$16="STOCHASTIC",G12,H12)),"")</f>
        <v/>
      </c>
      <c r="J12" s="26">
        <f>IF(D12,SUMIFS(ss_sd_recovery,ss_struct_key,C12),"")</f>
        <v/>
      </c>
      <c r="K12" s="27">
        <f>Inputs!$G$37</f>
        <v/>
      </c>
      <c r="L12" s="28">
        <f>Inputs!$H$37</f>
        <v/>
      </c>
      <c r="M12" s="26">
        <f>IF(D12,(I12+K12*J12)/(1-L12),"")</f>
        <v/>
      </c>
      <c r="N12" s="29">
        <f>IF(D12,IFERROR(SUMPRODUCT((es_option_id=B12)*es_mean_recovery*es_mean_reinst_usage)/SUMIFS(es_mean_recovery,es_option_id,B12),0),"")</f>
        <v/>
      </c>
      <c r="O12" s="18">
        <f>IF(D12,M12/(1+N12),"")</f>
        <v/>
      </c>
      <c r="P12" s="26">
        <f>IF(D12,O12*N12,"")</f>
        <v/>
      </c>
      <c r="Q12" s="30">
        <f>IF(D12,O12/Inputs!$E$10,"")</f>
        <v/>
      </c>
      <c r="R12" s="31">
        <f>IF(D12,O12/Inputs!$E$11,"")</f>
        <v/>
      </c>
      <c r="S12" s="32">
        <f>IF(D12,SUMIFS(el_exposed_lives,el_cover,A12,el_option_id,B12,el_layer,1),"")</f>
        <v/>
      </c>
      <c r="T12" s="30">
        <f>IF(D12,IFERROR(O12/S12,0),"")</f>
        <v/>
      </c>
      <c r="U12" s="26">
        <f>IF(D12,T12*Inputs!$E$9,"")</f>
        <v/>
      </c>
      <c r="V12" s="26">
        <f>IF(D12,I12,"")</f>
        <v/>
      </c>
      <c r="W12" s="26">
        <f>IF(D12,O12+P12-I12,"")</f>
        <v/>
      </c>
      <c r="X12" s="33">
        <f>IF(D12,COUNTIFS(sq_struct_key,C12,sq_recovery,"&gt;"&amp;O12)/MAX(1,COUNTIF(sq_struct_key,C12)),"")</f>
        <v/>
      </c>
      <c r="Y12" s="34">
        <f>IF(D12,IF(X12&gt;0,1/X12,"&gt; 999"),"")</f>
        <v/>
      </c>
      <c r="Z12" s="26">
        <f>IF(D12,IFERROR(O12*SUMIFS(es_mean_recovery,es_option_id,B12,es_layer,1)/SUMIFS(es_mean_recovery,es_option_id,B12),O12),"")</f>
        <v/>
      </c>
      <c r="AA12" s="26">
        <f>IF(D12,O12-Z12,"")</f>
        <v/>
      </c>
    </row>
    <row r="13">
      <c r="A13" s="9" t="inlineStr">
        <is>
          <t>EV</t>
        </is>
      </c>
      <c r="B13" s="6" t="n">
        <v>4</v>
      </c>
      <c r="C13" s="25">
        <f>"3 EV "&amp;B13</f>
        <v/>
      </c>
      <c r="D13" s="6">
        <f>COUNTIF(ss_struct_key,C13)&gt;0</f>
        <v/>
      </c>
      <c r="E13" s="6">
        <f>IF(D13,INDEX(ss_l_label,MATCH(C13,ss_struct_key,0)),"")</f>
        <v/>
      </c>
      <c r="F13" s="26">
        <f>IF(D13,SUMIFS(es_expected_cost_det,es_option_id,B13),"")</f>
        <v/>
      </c>
      <c r="G13" s="26">
        <f>IF(D13,SUMIFS(es_mean_recovery,es_option_id,B13),"")</f>
        <v/>
      </c>
      <c r="H13" s="26">
        <f>IF(D13,SUMIFS(es_expected_loss_blended,es_option_id,B13),"")</f>
        <v/>
      </c>
      <c r="I13" s="18">
        <f>IF(D13,IF(Inputs!$E$16="DETERMINISTIC",F13,IF(Inputs!$E$16="STOCHASTIC",G13,H13)),"")</f>
        <v/>
      </c>
      <c r="J13" s="26">
        <f>IF(D13,SUMIFS(ss_sd_recovery,ss_struct_key,C13),"")</f>
        <v/>
      </c>
      <c r="K13" s="27">
        <f>Inputs!$G$37</f>
        <v/>
      </c>
      <c r="L13" s="28">
        <f>Inputs!$H$37</f>
        <v/>
      </c>
      <c r="M13" s="26">
        <f>IF(D13,(I13+K13*J13)/(1-L13),"")</f>
        <v/>
      </c>
      <c r="N13" s="29">
        <f>IF(D13,IFERROR(SUMPRODUCT((es_option_id=B13)*es_mean_recovery*es_mean_reinst_usage)/SUMIFS(es_mean_recovery,es_option_id,B13),0),"")</f>
        <v/>
      </c>
      <c r="O13" s="18">
        <f>IF(D13,M13/(1+N13),"")</f>
        <v/>
      </c>
      <c r="P13" s="26">
        <f>IF(D13,O13*N13,"")</f>
        <v/>
      </c>
      <c r="Q13" s="30">
        <f>IF(D13,O13/Inputs!$E$10,"")</f>
        <v/>
      </c>
      <c r="R13" s="31">
        <f>IF(D13,O13/Inputs!$E$11,"")</f>
        <v/>
      </c>
      <c r="S13" s="32">
        <f>IF(D13,SUMIFS(el_exposed_lives,el_cover,A13,el_option_id,B13,el_layer,1),"")</f>
        <v/>
      </c>
      <c r="T13" s="30">
        <f>IF(D13,IFERROR(O13/S13,0),"")</f>
        <v/>
      </c>
      <c r="U13" s="26">
        <f>IF(D13,T13*Inputs!$E$9,"")</f>
        <v/>
      </c>
      <c r="V13" s="26">
        <f>IF(D13,I13,"")</f>
        <v/>
      </c>
      <c r="W13" s="26">
        <f>IF(D13,O13+P13-I13,"")</f>
        <v/>
      </c>
      <c r="X13" s="33">
        <f>IF(D13,COUNTIFS(sq_struct_key,C13,sq_recovery,"&gt;"&amp;O13)/MAX(1,COUNTIF(sq_struct_key,C13)),"")</f>
        <v/>
      </c>
      <c r="Y13" s="34">
        <f>IF(D13,IF(X13&gt;0,1/X13,"&gt; 999"),"")</f>
        <v/>
      </c>
      <c r="Z13" s="26">
        <f>IF(D13,IFERROR(O13*SUMIFS(es_mean_recovery,es_option_id,B13,es_layer,1)/SUMIFS(es_mean_recovery,es_option_id,B13),O13),"")</f>
        <v/>
      </c>
      <c r="AA13" s="26">
        <f>IF(D13,O13-Z13,"")</f>
        <v/>
      </c>
    </row>
    <row r="14">
      <c r="A14" s="9" t="inlineStr">
        <is>
          <t>SL</t>
        </is>
      </c>
      <c r="B14" s="6" t="n">
        <v>1</v>
      </c>
      <c r="C14" s="25">
        <f>"2 SL "&amp;B14</f>
        <v/>
      </c>
      <c r="D14" s="6">
        <f>COUNTIF(ss_struct_key,C14)&gt;0</f>
        <v/>
      </c>
      <c r="E14" s="6">
        <f>IF(D14,INDEX(ss_l_label,MATCH(C14,ss_struct_key,0)),"")</f>
        <v/>
      </c>
      <c r="F14" s="26">
        <f>IF(D14,"","")</f>
        <v/>
      </c>
      <c r="G14" s="26">
        <f>IF(D14,SUMIFS(ss_mean_recovery,ss_struct_key,C14),"")</f>
        <v/>
      </c>
      <c r="H14" s="26">
        <f>IF(D14,SUMIFS(ss_mean_recovery,ss_struct_key,C14),"")</f>
        <v/>
      </c>
      <c r="I14" s="18">
        <f>IF(D14,G14,"")</f>
        <v/>
      </c>
      <c r="J14" s="26">
        <f>IF(D14,SUMIFS(ss_sd_recovery,ss_struct_key,C14),"")</f>
        <v/>
      </c>
      <c r="K14" s="27">
        <f>Inputs!$G$38</f>
        <v/>
      </c>
      <c r="L14" s="28">
        <f>Inputs!$H$38</f>
        <v/>
      </c>
      <c r="M14" s="26">
        <f>IF(D14,(I14+K14*J14)/(1-L14),"")</f>
        <v/>
      </c>
      <c r="N14" s="29">
        <f>IF(D14,0,"")</f>
        <v/>
      </c>
      <c r="O14" s="18">
        <f>IF(D14,M14/(1+N14),"")</f>
        <v/>
      </c>
      <c r="P14" s="26">
        <f>IF(D14,O14*N14,"")</f>
        <v/>
      </c>
      <c r="Q14" s="30">
        <f>IF(D14,O14/Inputs!$E$10,"")</f>
        <v/>
      </c>
      <c r="R14" s="31">
        <f>IF(D14,O14/Inputs!$E$11,"")</f>
        <v/>
      </c>
      <c r="S14" s="32">
        <f>IF(D14,SUMIFS(el_exposed_lives,el_cover,A14,el_option_id,B14,el_layer,1),"")</f>
        <v/>
      </c>
      <c r="T14" s="30">
        <f>IF(D14,IFERROR(O14/S14,0),"")</f>
        <v/>
      </c>
      <c r="U14" s="26">
        <f>IF(D14,T14*Inputs!$E$9,"")</f>
        <v/>
      </c>
      <c r="V14" s="26">
        <f>IF(D14,I14,"")</f>
        <v/>
      </c>
      <c r="W14" s="26">
        <f>IF(D14,O14+P14-I14,"")</f>
        <v/>
      </c>
      <c r="X14" s="33">
        <f>IF(D14,COUNTIFS(sq_struct_key,C14,sq_recovery,"&gt;"&amp;O14)/MAX(1,COUNTIF(sq_struct_key,C14)),"")</f>
        <v/>
      </c>
      <c r="Y14" s="34">
        <f>IF(D14,IF(X14&gt;0,1/X14,"&gt; 999"),"")</f>
        <v/>
      </c>
      <c r="Z14" s="26">
        <f>IF(D14,O14,"")</f>
        <v/>
      </c>
      <c r="AA14" s="26">
        <f>IF(D14,O14-Z14,"")</f>
        <v/>
      </c>
    </row>
    <row r="15">
      <c r="A15" s="9" t="inlineStr">
        <is>
          <t>SL</t>
        </is>
      </c>
      <c r="B15" s="6" t="n">
        <v>2</v>
      </c>
      <c r="C15" s="25">
        <f>"2 SL "&amp;B15</f>
        <v/>
      </c>
      <c r="D15" s="6">
        <f>COUNTIF(ss_struct_key,C15)&gt;0</f>
        <v/>
      </c>
      <c r="E15" s="6">
        <f>IF(D15,INDEX(ss_l_label,MATCH(C15,ss_struct_key,0)),"")</f>
        <v/>
      </c>
      <c r="F15" s="26">
        <f>IF(D15,"","")</f>
        <v/>
      </c>
      <c r="G15" s="26">
        <f>IF(D15,SUMIFS(ss_mean_recovery,ss_struct_key,C15),"")</f>
        <v/>
      </c>
      <c r="H15" s="26">
        <f>IF(D15,SUMIFS(ss_mean_recovery,ss_struct_key,C15),"")</f>
        <v/>
      </c>
      <c r="I15" s="18">
        <f>IF(D15,G15,"")</f>
        <v/>
      </c>
      <c r="J15" s="26">
        <f>IF(D15,SUMIFS(ss_sd_recovery,ss_struct_key,C15),"")</f>
        <v/>
      </c>
      <c r="K15" s="27">
        <f>Inputs!$G$38</f>
        <v/>
      </c>
      <c r="L15" s="28">
        <f>Inputs!$H$38</f>
        <v/>
      </c>
      <c r="M15" s="26">
        <f>IF(D15,(I15+K15*J15)/(1-L15),"")</f>
        <v/>
      </c>
      <c r="N15" s="29">
        <f>IF(D15,0,"")</f>
        <v/>
      </c>
      <c r="O15" s="18">
        <f>IF(D15,M15/(1+N15),"")</f>
        <v/>
      </c>
      <c r="P15" s="26">
        <f>IF(D15,O15*N15,"")</f>
        <v/>
      </c>
      <c r="Q15" s="30">
        <f>IF(D15,O15/Inputs!$E$10,"")</f>
        <v/>
      </c>
      <c r="R15" s="31">
        <f>IF(D15,O15/Inputs!$E$11,"")</f>
        <v/>
      </c>
      <c r="S15" s="32">
        <f>IF(D15,SUMIFS(el_exposed_lives,el_cover,A15,el_option_id,B15,el_layer,1),"")</f>
        <v/>
      </c>
      <c r="T15" s="30">
        <f>IF(D15,IFERROR(O15/S15,0),"")</f>
        <v/>
      </c>
      <c r="U15" s="26">
        <f>IF(D15,T15*Inputs!$E$9,"")</f>
        <v/>
      </c>
      <c r="V15" s="26">
        <f>IF(D15,I15,"")</f>
        <v/>
      </c>
      <c r="W15" s="26">
        <f>IF(D15,O15+P15-I15,"")</f>
        <v/>
      </c>
      <c r="X15" s="33">
        <f>IF(D15,COUNTIFS(sq_struct_key,C15,sq_recovery,"&gt;"&amp;O15)/MAX(1,COUNTIF(sq_struct_key,C15)),"")</f>
        <v/>
      </c>
      <c r="Y15" s="34">
        <f>IF(D15,IF(X15&gt;0,1/X15,"&gt; 999"),"")</f>
        <v/>
      </c>
      <c r="Z15" s="26">
        <f>IF(D15,O15,"")</f>
        <v/>
      </c>
      <c r="AA15" s="26">
        <f>IF(D15,O15-Z15,"")</f>
        <v/>
      </c>
    </row>
    <row r="16">
      <c r="A16" s="9" t="inlineStr">
        <is>
          <t>SL</t>
        </is>
      </c>
      <c r="B16" s="6" t="n">
        <v>3</v>
      </c>
      <c r="C16" s="25">
        <f>"2 SL "&amp;B16</f>
        <v/>
      </c>
      <c r="D16" s="6">
        <f>COUNTIF(ss_struct_key,C16)&gt;0</f>
        <v/>
      </c>
      <c r="E16" s="6">
        <f>IF(D16,INDEX(ss_l_label,MATCH(C16,ss_struct_key,0)),"")</f>
        <v/>
      </c>
      <c r="F16" s="26">
        <f>IF(D16,"","")</f>
        <v/>
      </c>
      <c r="G16" s="26">
        <f>IF(D16,SUMIFS(ss_mean_recovery,ss_struct_key,C16),"")</f>
        <v/>
      </c>
      <c r="H16" s="26">
        <f>IF(D16,SUMIFS(ss_mean_recovery,ss_struct_key,C16),"")</f>
        <v/>
      </c>
      <c r="I16" s="18">
        <f>IF(D16,G16,"")</f>
        <v/>
      </c>
      <c r="J16" s="26">
        <f>IF(D16,SUMIFS(ss_sd_recovery,ss_struct_key,C16),"")</f>
        <v/>
      </c>
      <c r="K16" s="27">
        <f>Inputs!$G$38</f>
        <v/>
      </c>
      <c r="L16" s="28">
        <f>Inputs!$H$38</f>
        <v/>
      </c>
      <c r="M16" s="26">
        <f>IF(D16,(I16+K16*J16)/(1-L16),"")</f>
        <v/>
      </c>
      <c r="N16" s="29">
        <f>IF(D16,0,"")</f>
        <v/>
      </c>
      <c r="O16" s="18">
        <f>IF(D16,M16/(1+N16),"")</f>
        <v/>
      </c>
      <c r="P16" s="26">
        <f>IF(D16,O16*N16,"")</f>
        <v/>
      </c>
      <c r="Q16" s="30">
        <f>IF(D16,O16/Inputs!$E$10,"")</f>
        <v/>
      </c>
      <c r="R16" s="31">
        <f>IF(D16,O16/Inputs!$E$11,"")</f>
        <v/>
      </c>
      <c r="S16" s="32">
        <f>IF(D16,SUMIFS(el_exposed_lives,el_cover,A16,el_option_id,B16,el_layer,1),"")</f>
        <v/>
      </c>
      <c r="T16" s="30">
        <f>IF(D16,IFERROR(O16/S16,0),"")</f>
        <v/>
      </c>
      <c r="U16" s="26">
        <f>IF(D16,T16*Inputs!$E$9,"")</f>
        <v/>
      </c>
      <c r="V16" s="26">
        <f>IF(D16,I16,"")</f>
        <v/>
      </c>
      <c r="W16" s="26">
        <f>IF(D16,O16+P16-I16,"")</f>
        <v/>
      </c>
      <c r="X16" s="33">
        <f>IF(D16,COUNTIFS(sq_struct_key,C16,sq_recovery,"&gt;"&amp;O16)/MAX(1,COUNTIF(sq_struct_key,C16)),"")</f>
        <v/>
      </c>
      <c r="Y16" s="34">
        <f>IF(D16,IF(X16&gt;0,1/X16,"&gt; 999"),"")</f>
        <v/>
      </c>
      <c r="Z16" s="26">
        <f>IF(D16,O16,"")</f>
        <v/>
      </c>
      <c r="AA16" s="26">
        <f>IF(D16,O16-Z16,"")</f>
        <v/>
      </c>
    </row>
    <row r="17">
      <c r="A17" s="9" t="inlineStr">
        <is>
          <t>SL</t>
        </is>
      </c>
      <c r="B17" s="6" t="n">
        <v>4</v>
      </c>
      <c r="C17" s="25">
        <f>"2 SL "&amp;B17</f>
        <v/>
      </c>
      <c r="D17" s="6">
        <f>COUNTIF(ss_struct_key,C17)&gt;0</f>
        <v/>
      </c>
      <c r="E17" s="6">
        <f>IF(D17,INDEX(ss_l_label,MATCH(C17,ss_struct_key,0)),"")</f>
        <v/>
      </c>
      <c r="F17" s="26">
        <f>IF(D17,"","")</f>
        <v/>
      </c>
      <c r="G17" s="26">
        <f>IF(D17,SUMIFS(ss_mean_recovery,ss_struct_key,C17),"")</f>
        <v/>
      </c>
      <c r="H17" s="26">
        <f>IF(D17,SUMIFS(ss_mean_recovery,ss_struct_key,C17),"")</f>
        <v/>
      </c>
      <c r="I17" s="18">
        <f>IF(D17,G17,"")</f>
        <v/>
      </c>
      <c r="J17" s="26">
        <f>IF(D17,SUMIFS(ss_sd_recovery,ss_struct_key,C17),"")</f>
        <v/>
      </c>
      <c r="K17" s="27">
        <f>Inputs!$G$38</f>
        <v/>
      </c>
      <c r="L17" s="28">
        <f>Inputs!$H$38</f>
        <v/>
      </c>
      <c r="M17" s="26">
        <f>IF(D17,(I17+K17*J17)/(1-L17),"")</f>
        <v/>
      </c>
      <c r="N17" s="29">
        <f>IF(D17,0,"")</f>
        <v/>
      </c>
      <c r="O17" s="18">
        <f>IF(D17,M17/(1+N17),"")</f>
        <v/>
      </c>
      <c r="P17" s="26">
        <f>IF(D17,O17*N17,"")</f>
        <v/>
      </c>
      <c r="Q17" s="30">
        <f>IF(D17,O17/Inputs!$E$10,"")</f>
        <v/>
      </c>
      <c r="R17" s="31">
        <f>IF(D17,O17/Inputs!$E$11,"")</f>
        <v/>
      </c>
      <c r="S17" s="32">
        <f>IF(D17,SUMIFS(el_exposed_lives,el_cover,A17,el_option_id,B17,el_layer,1),"")</f>
        <v/>
      </c>
      <c r="T17" s="30">
        <f>IF(D17,IFERROR(O17/S17,0),"")</f>
        <v/>
      </c>
      <c r="U17" s="26">
        <f>IF(D17,T17*Inputs!$E$9,"")</f>
        <v/>
      </c>
      <c r="V17" s="26">
        <f>IF(D17,I17,"")</f>
        <v/>
      </c>
      <c r="W17" s="26">
        <f>IF(D17,O17+P17-I17,"")</f>
        <v/>
      </c>
      <c r="X17" s="33">
        <f>IF(D17,COUNTIFS(sq_struct_key,C17,sq_recovery,"&gt;"&amp;O17)/MAX(1,COUNTIF(sq_struct_key,C17)),"")</f>
        <v/>
      </c>
      <c r="Y17" s="34">
        <f>IF(D17,IF(X17&gt;0,1/X17,"&gt; 999"),"")</f>
        <v/>
      </c>
      <c r="Z17" s="26">
        <f>IF(D17,O17,"")</f>
        <v/>
      </c>
      <c r="AA17" s="26">
        <f>IF(D17,O17-Z17,"")</f>
        <v/>
      </c>
    </row>
    <row r="19">
      <c r="A19" s="2" t="inlineStr">
        <is>
          <t>Premium is split between layers in proportion to their simulated expected recoveries (used for the reinstatement premium of each layer). 1 in N = 1 / share of the 999 simulated recovery quantiles above the premium.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4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Reinsurance structures &amp; options</t>
        </is>
      </c>
    </row>
    <row r="2">
      <c r="A2" s="2">
        <f>"Amounts in "&amp;Inputs!$E$19&amp;IF(Inputs!$E$8=1000," thousands",IF(Inputs!$E$8=1000000," millions",""))&amp;". Indicative premiums from high-level loadings (Inputs)."</f>
        <v/>
      </c>
    </row>
    <row r="4" ht="42" customHeight="1">
      <c r="B4" s="5" t="inlineStr">
        <is>
          <t>Option</t>
        </is>
      </c>
      <c r="C4" s="5" t="inlineStr">
        <is>
          <t>Cover</t>
        </is>
      </c>
      <c r="D4" s="5" t="inlineStr">
        <is>
          <t>Exposed lives</t>
        </is>
      </c>
      <c r="E4" s="5" t="inlineStr">
        <is>
          <t>Annual premium</t>
        </is>
      </c>
      <c r="F4" s="5" t="inlineStr">
        <is>
          <t>Premium per exposed life p.a.</t>
        </is>
      </c>
      <c r="G4" s="5">
        <f>"Premium per "&amp;TEXT(Inputs!$E$9,"#,##0")&amp;" lives"</f>
        <v/>
      </c>
      <c r="H4" s="5" t="inlineStr">
        <is>
          <t>Expected recoveries p.a.</t>
        </is>
      </c>
      <c r="I4" s="5" t="inlineStr">
        <is>
          <t>Expected cost of cover</t>
        </is>
      </c>
      <c r="J4" s="5" t="inlineStr">
        <is>
          <t>Recoveries exceed premium 1 in N yrs</t>
        </is>
      </c>
    </row>
    <row r="5">
      <c r="B5" s="35">
        <f>IF(Pricing!$D$6,"Per-person XoL "&amp;1,"")</f>
        <v/>
      </c>
      <c r="C5" s="36">
        <f>Pricing!$E$6</f>
        <v/>
      </c>
      <c r="D5" s="37">
        <f>IF(Pricing!$D$6,Pricing!$S$6,"")</f>
        <v/>
      </c>
      <c r="E5" s="38">
        <f>IF(Pricing!$D$6,Pricing!$O$6*Inputs!$E$18,"")</f>
        <v/>
      </c>
      <c r="F5" s="39">
        <f>IF(Pricing!$D$6,Pricing!$T$6*IF(Inputs!$E$7="USD",Inputs!$E$6,1),"")</f>
        <v/>
      </c>
      <c r="G5" s="38">
        <f>IF(Pricing!$D$6,Pricing!$U$6*Inputs!$E$18,"")</f>
        <v/>
      </c>
      <c r="H5" s="38">
        <f>IF(Pricing!$D$6,Pricing!$V$6*Inputs!$E$18,"")</f>
        <v/>
      </c>
      <c r="I5" s="38">
        <f>IF(Pricing!$D$6,Pricing!$W$6*Inputs!$E$18,"")</f>
        <v/>
      </c>
      <c r="J5" s="40">
        <f>IF(Pricing!$D$6,Pricing!$Y$6,"")</f>
        <v/>
      </c>
    </row>
    <row r="6">
      <c r="B6" s="35">
        <f>IF(Pricing!$D$7,"Per-person XoL "&amp;2,"")</f>
        <v/>
      </c>
      <c r="C6" s="36">
        <f>Pricing!$E$7</f>
        <v/>
      </c>
      <c r="D6" s="37">
        <f>IF(Pricing!$D$7,Pricing!$S$7,"")</f>
        <v/>
      </c>
      <c r="E6" s="38">
        <f>IF(Pricing!$D$7,Pricing!$O$7*Inputs!$E$18,"")</f>
        <v/>
      </c>
      <c r="F6" s="39">
        <f>IF(Pricing!$D$7,Pricing!$T$7*IF(Inputs!$E$7="USD",Inputs!$E$6,1),"")</f>
        <v/>
      </c>
      <c r="G6" s="38">
        <f>IF(Pricing!$D$7,Pricing!$U$7*Inputs!$E$18,"")</f>
        <v/>
      </c>
      <c r="H6" s="38">
        <f>IF(Pricing!$D$7,Pricing!$V$7*Inputs!$E$18,"")</f>
        <v/>
      </c>
      <c r="I6" s="38">
        <f>IF(Pricing!$D$7,Pricing!$W$7*Inputs!$E$18,"")</f>
        <v/>
      </c>
      <c r="J6" s="40">
        <f>IF(Pricing!$D$7,Pricing!$Y$7,"")</f>
        <v/>
      </c>
    </row>
    <row r="7">
      <c r="B7" s="35">
        <f>IF(Pricing!$D$8,"Per-person XoL "&amp;3,"")</f>
        <v/>
      </c>
      <c r="C7" s="36">
        <f>Pricing!$E$8</f>
        <v/>
      </c>
      <c r="D7" s="37">
        <f>IF(Pricing!$D$8,Pricing!$S$8,"")</f>
        <v/>
      </c>
      <c r="E7" s="38">
        <f>IF(Pricing!$D$8,Pricing!$O$8*Inputs!$E$18,"")</f>
        <v/>
      </c>
      <c r="F7" s="39">
        <f>IF(Pricing!$D$8,Pricing!$T$8*IF(Inputs!$E$7="USD",Inputs!$E$6,1),"")</f>
        <v/>
      </c>
      <c r="G7" s="38">
        <f>IF(Pricing!$D$8,Pricing!$U$8*Inputs!$E$18,"")</f>
        <v/>
      </c>
      <c r="H7" s="38">
        <f>IF(Pricing!$D$8,Pricing!$V$8*Inputs!$E$18,"")</f>
        <v/>
      </c>
      <c r="I7" s="38">
        <f>IF(Pricing!$D$8,Pricing!$W$8*Inputs!$E$18,"")</f>
        <v/>
      </c>
      <c r="J7" s="40">
        <f>IF(Pricing!$D$8,Pricing!$Y$8,"")</f>
        <v/>
      </c>
    </row>
    <row r="8">
      <c r="B8" s="35">
        <f>IF(Pricing!$D$9,"Per-person XoL "&amp;4,"")</f>
        <v/>
      </c>
      <c r="C8" s="36">
        <f>Pricing!$E$9</f>
        <v/>
      </c>
      <c r="D8" s="37">
        <f>IF(Pricing!$D$9,Pricing!$S$9,"")</f>
        <v/>
      </c>
      <c r="E8" s="38">
        <f>IF(Pricing!$D$9,Pricing!$O$9*Inputs!$E$18,"")</f>
        <v/>
      </c>
      <c r="F8" s="39">
        <f>IF(Pricing!$D$9,Pricing!$T$9*IF(Inputs!$E$7="USD",Inputs!$E$6,1),"")</f>
        <v/>
      </c>
      <c r="G8" s="38">
        <f>IF(Pricing!$D$9,Pricing!$U$9*Inputs!$E$18,"")</f>
        <v/>
      </c>
      <c r="H8" s="38">
        <f>IF(Pricing!$D$9,Pricing!$V$9*Inputs!$E$18,"")</f>
        <v/>
      </c>
      <c r="I8" s="38">
        <f>IF(Pricing!$D$9,Pricing!$W$9*Inputs!$E$18,"")</f>
        <v/>
      </c>
      <c r="J8" s="40">
        <f>IF(Pricing!$D$9,Pricing!$Y$9,"")</f>
        <v/>
      </c>
    </row>
    <row r="9">
      <c r="B9" s="35">
        <f>IF(Pricing!$D$10,"Per-event XoL "&amp;1,"")</f>
        <v/>
      </c>
      <c r="C9" s="36">
        <f>Pricing!$E$10</f>
        <v/>
      </c>
      <c r="D9" s="37">
        <f>IF(Pricing!$D$10,Pricing!$S$10,"")</f>
        <v/>
      </c>
      <c r="E9" s="38">
        <f>IF(Pricing!$D$10,Pricing!$O$10*Inputs!$E$18,"")</f>
        <v/>
      </c>
      <c r="F9" s="39">
        <f>IF(Pricing!$D$10,Pricing!$T$10*IF(Inputs!$E$7="USD",Inputs!$E$6,1),"")</f>
        <v/>
      </c>
      <c r="G9" s="38">
        <f>IF(Pricing!$D$10,Pricing!$U$10*Inputs!$E$18,"")</f>
        <v/>
      </c>
      <c r="H9" s="38">
        <f>IF(Pricing!$D$10,Pricing!$V$10*Inputs!$E$18,"")</f>
        <v/>
      </c>
      <c r="I9" s="38">
        <f>IF(Pricing!$D$10,Pricing!$W$10*Inputs!$E$18,"")</f>
        <v/>
      </c>
      <c r="J9" s="40">
        <f>IF(Pricing!$D$10,Pricing!$Y$10,"")</f>
        <v/>
      </c>
    </row>
    <row r="10">
      <c r="B10" s="35">
        <f>IF(Pricing!$D$11,"Per-event XoL "&amp;2,"")</f>
        <v/>
      </c>
      <c r="C10" s="36">
        <f>Pricing!$E$11</f>
        <v/>
      </c>
      <c r="D10" s="37">
        <f>IF(Pricing!$D$11,Pricing!$S$11,"")</f>
        <v/>
      </c>
      <c r="E10" s="38">
        <f>IF(Pricing!$D$11,Pricing!$O$11*Inputs!$E$18,"")</f>
        <v/>
      </c>
      <c r="F10" s="39">
        <f>IF(Pricing!$D$11,Pricing!$T$11*IF(Inputs!$E$7="USD",Inputs!$E$6,1),"")</f>
        <v/>
      </c>
      <c r="G10" s="38">
        <f>IF(Pricing!$D$11,Pricing!$U$11*Inputs!$E$18,"")</f>
        <v/>
      </c>
      <c r="H10" s="38">
        <f>IF(Pricing!$D$11,Pricing!$V$11*Inputs!$E$18,"")</f>
        <v/>
      </c>
      <c r="I10" s="38">
        <f>IF(Pricing!$D$11,Pricing!$W$11*Inputs!$E$18,"")</f>
        <v/>
      </c>
      <c r="J10" s="40">
        <f>IF(Pricing!$D$11,Pricing!$Y$11,"")</f>
        <v/>
      </c>
    </row>
    <row r="11">
      <c r="B11" s="35">
        <f>IF(Pricing!$D$12,"Per-event XoL "&amp;3,"")</f>
        <v/>
      </c>
      <c r="C11" s="36">
        <f>Pricing!$E$12</f>
        <v/>
      </c>
      <c r="D11" s="37">
        <f>IF(Pricing!$D$12,Pricing!$S$12,"")</f>
        <v/>
      </c>
      <c r="E11" s="38">
        <f>IF(Pricing!$D$12,Pricing!$O$12*Inputs!$E$18,"")</f>
        <v/>
      </c>
      <c r="F11" s="39">
        <f>IF(Pricing!$D$12,Pricing!$T$12*IF(Inputs!$E$7="USD",Inputs!$E$6,1),"")</f>
        <v/>
      </c>
      <c r="G11" s="38">
        <f>IF(Pricing!$D$12,Pricing!$U$12*Inputs!$E$18,"")</f>
        <v/>
      </c>
      <c r="H11" s="38">
        <f>IF(Pricing!$D$12,Pricing!$V$12*Inputs!$E$18,"")</f>
        <v/>
      </c>
      <c r="I11" s="38">
        <f>IF(Pricing!$D$12,Pricing!$W$12*Inputs!$E$18,"")</f>
        <v/>
      </c>
      <c r="J11" s="40">
        <f>IF(Pricing!$D$12,Pricing!$Y$12,"")</f>
        <v/>
      </c>
    </row>
    <row r="12">
      <c r="B12" s="35">
        <f>IF(Pricing!$D$13,"Per-event XoL "&amp;4,"")</f>
        <v/>
      </c>
      <c r="C12" s="36">
        <f>Pricing!$E$13</f>
        <v/>
      </c>
      <c r="D12" s="37">
        <f>IF(Pricing!$D$13,Pricing!$S$13,"")</f>
        <v/>
      </c>
      <c r="E12" s="38">
        <f>IF(Pricing!$D$13,Pricing!$O$13*Inputs!$E$18,"")</f>
        <v/>
      </c>
      <c r="F12" s="39">
        <f>IF(Pricing!$D$13,Pricing!$T$13*IF(Inputs!$E$7="USD",Inputs!$E$6,1),"")</f>
        <v/>
      </c>
      <c r="G12" s="38">
        <f>IF(Pricing!$D$13,Pricing!$U$13*Inputs!$E$18,"")</f>
        <v/>
      </c>
      <c r="H12" s="38">
        <f>IF(Pricing!$D$13,Pricing!$V$13*Inputs!$E$18,"")</f>
        <v/>
      </c>
      <c r="I12" s="38">
        <f>IF(Pricing!$D$13,Pricing!$W$13*Inputs!$E$18,"")</f>
        <v/>
      </c>
      <c r="J12" s="40">
        <f>IF(Pricing!$D$13,Pricing!$Y$13,"")</f>
        <v/>
      </c>
    </row>
    <row r="13">
      <c r="B13" s="35">
        <f>IF(Pricing!$D$14,"Stop loss "&amp;1,"")</f>
        <v/>
      </c>
      <c r="C13" s="36">
        <f>IF(Pricing!$D$14,IFERROR(IF(INDEX(ss_sl_measure,MATCH("2 SL "&amp;1,ss_struct_key,0))="PCT_BUDGET",TEXT(SUMIFS(ss_limit_pct_budget,ss_struct_key,"2 SL "&amp;1),"0%")&amp;" xs "&amp;TEXT(SUMIFS(ss_ap_pct_budget,ss_struct_key,"2 SL "&amp;1),"0%")&amp;" of budget ("&amp;Inputs!$E$19&amp;" "&amp;TEXT(SUMIFS(ss_limit_amount,ss_struct_key,"2 SL "&amp;1)*IF(Inputs!$E$7="USD",Inputs!$E$6,1)/1000000,"#,##0.0")&amp;"m xs "&amp;Inputs!$E$19&amp;" "&amp;TEXT(SUMIFS(ss_ap_amount,ss_struct_key,"2 SL "&amp;1)*IF(Inputs!$E$7="USD",Inputs!$E$6,1)/1000000,"#,##0.0")&amp;"m"&amp;")",IF(INDEX(ss_sl_measure,MATCH("2 SL "&amp;1,ss_struct_key,0))="PCT_EPI",TEXT(SUMIFS(ss_limit_pct_epi,ss_struct_key,"2 SL "&amp;1),"0%")&amp;" xs "&amp;TEXT(SUMIFS(ss_ap_pct_epi,ss_struct_key,"2 SL "&amp;1),"0%")&amp;" of EPI ("&amp;Inputs!$E$19&amp;" "&amp;TEXT(SUMIFS(ss_limit_amount,ss_struct_key,"2 SL "&amp;1)*IF(Inputs!$E$7="USD",Inputs!$E$6,1)/1000000,"#,##0.0")&amp;"m xs "&amp;Inputs!$E$19&amp;" "&amp;TEXT(SUMIFS(ss_ap_amount,ss_struct_key,"2 SL "&amp;1)*IF(Inputs!$E$7="USD",Inputs!$E$6,1)/1000000,"#,##0.0")&amp;"m"&amp;")",Inputs!$E$19&amp;" "&amp;TEXT(SUMIFS(ss_limit_amount,ss_struct_key,"2 SL "&amp;1)*IF(Inputs!$E$7="USD",Inputs!$E$6,1)/1000000,"#,##0.0")&amp;"m xs "&amp;Inputs!$E$19&amp;" "&amp;TEXT(SUMIFS(ss_ap_amount,ss_struct_key,"2 SL "&amp;1)*IF(Inputs!$E$7="USD",Inputs!$E$6,1)/1000000,"#,##0.0")&amp;"m"))&amp;IF(INDEX(ss_pp_option,MATCH("2 SL "&amp;1,ss_struct_key,0))&gt;0," net of XoL",""),Pricing!$E$14),"")</f>
        <v/>
      </c>
      <c r="D13" s="37">
        <f>IF(Pricing!$D$14,Pricing!$S$14,"")</f>
        <v/>
      </c>
      <c r="E13" s="38">
        <f>IF(Pricing!$D$14,Pricing!$O$14*Inputs!$E$18,"")</f>
        <v/>
      </c>
      <c r="F13" s="39">
        <f>IF(Pricing!$D$14,Pricing!$T$14*IF(Inputs!$E$7="USD",Inputs!$E$6,1),"")</f>
        <v/>
      </c>
      <c r="G13" s="38">
        <f>IF(Pricing!$D$14,Pricing!$U$14*Inputs!$E$18,"")</f>
        <v/>
      </c>
      <c r="H13" s="38">
        <f>IF(Pricing!$D$14,Pricing!$V$14*Inputs!$E$18,"")</f>
        <v/>
      </c>
      <c r="I13" s="38">
        <f>IF(Pricing!$D$14,Pricing!$W$14*Inputs!$E$18,"")</f>
        <v/>
      </c>
      <c r="J13" s="40">
        <f>IF(Pricing!$D$14,Pricing!$Y$14,"")</f>
        <v/>
      </c>
    </row>
    <row r="14">
      <c r="B14" s="35">
        <f>IF(Pricing!$D$15,"Stop loss "&amp;2,"")</f>
        <v/>
      </c>
      <c r="C14" s="36">
        <f>IF(Pricing!$D$15,IFERROR(IF(INDEX(ss_sl_measure,MATCH("2 SL "&amp;2,ss_struct_key,0))="PCT_BUDGET",TEXT(SUMIFS(ss_limit_pct_budget,ss_struct_key,"2 SL "&amp;2),"0%")&amp;" xs "&amp;TEXT(SUMIFS(ss_ap_pct_budget,ss_struct_key,"2 SL "&amp;2),"0%")&amp;" of budget ("&amp;Inputs!$E$19&amp;" "&amp;TEXT(SUMIFS(ss_limit_amount,ss_struct_key,"2 SL "&amp;2)*IF(Inputs!$E$7="USD",Inputs!$E$6,1)/1000000,"#,##0.0")&amp;"m xs "&amp;Inputs!$E$19&amp;" "&amp;TEXT(SUMIFS(ss_ap_amount,ss_struct_key,"2 SL "&amp;2)*IF(Inputs!$E$7="USD",Inputs!$E$6,1)/1000000,"#,##0.0")&amp;"m"&amp;")",IF(INDEX(ss_sl_measure,MATCH("2 SL "&amp;2,ss_struct_key,0))="PCT_EPI",TEXT(SUMIFS(ss_limit_pct_epi,ss_struct_key,"2 SL "&amp;2),"0%")&amp;" xs "&amp;TEXT(SUMIFS(ss_ap_pct_epi,ss_struct_key,"2 SL "&amp;2),"0%")&amp;" of EPI ("&amp;Inputs!$E$19&amp;" "&amp;TEXT(SUMIFS(ss_limit_amount,ss_struct_key,"2 SL "&amp;2)*IF(Inputs!$E$7="USD",Inputs!$E$6,1)/1000000,"#,##0.0")&amp;"m xs "&amp;Inputs!$E$19&amp;" "&amp;TEXT(SUMIFS(ss_ap_amount,ss_struct_key,"2 SL "&amp;2)*IF(Inputs!$E$7="USD",Inputs!$E$6,1)/1000000,"#,##0.0")&amp;"m"&amp;")",Inputs!$E$19&amp;" "&amp;TEXT(SUMIFS(ss_limit_amount,ss_struct_key,"2 SL "&amp;2)*IF(Inputs!$E$7="USD",Inputs!$E$6,1)/1000000,"#,##0.0")&amp;"m xs "&amp;Inputs!$E$19&amp;" "&amp;TEXT(SUMIFS(ss_ap_amount,ss_struct_key,"2 SL "&amp;2)*IF(Inputs!$E$7="USD",Inputs!$E$6,1)/1000000,"#,##0.0")&amp;"m"))&amp;IF(INDEX(ss_pp_option,MATCH("2 SL "&amp;2,ss_struct_key,0))&gt;0," net of XoL",""),Pricing!$E$15),"")</f>
        <v/>
      </c>
      <c r="D14" s="37">
        <f>IF(Pricing!$D$15,Pricing!$S$15,"")</f>
        <v/>
      </c>
      <c r="E14" s="38">
        <f>IF(Pricing!$D$15,Pricing!$O$15*Inputs!$E$18,"")</f>
        <v/>
      </c>
      <c r="F14" s="39">
        <f>IF(Pricing!$D$15,Pricing!$T$15*IF(Inputs!$E$7="USD",Inputs!$E$6,1),"")</f>
        <v/>
      </c>
      <c r="G14" s="38">
        <f>IF(Pricing!$D$15,Pricing!$U$15*Inputs!$E$18,"")</f>
        <v/>
      </c>
      <c r="H14" s="38">
        <f>IF(Pricing!$D$15,Pricing!$V$15*Inputs!$E$18,"")</f>
        <v/>
      </c>
      <c r="I14" s="38">
        <f>IF(Pricing!$D$15,Pricing!$W$15*Inputs!$E$18,"")</f>
        <v/>
      </c>
      <c r="J14" s="40">
        <f>IF(Pricing!$D$15,Pricing!$Y$15,"")</f>
        <v/>
      </c>
    </row>
    <row r="15">
      <c r="B15" s="35">
        <f>IF(Pricing!$D$16,"Stop loss "&amp;3,"")</f>
        <v/>
      </c>
      <c r="C15" s="36">
        <f>IF(Pricing!$D$16,IFERROR(IF(INDEX(ss_sl_measure,MATCH("2 SL "&amp;3,ss_struct_key,0))="PCT_BUDGET",TEXT(SUMIFS(ss_limit_pct_budget,ss_struct_key,"2 SL "&amp;3),"0%")&amp;" xs "&amp;TEXT(SUMIFS(ss_ap_pct_budget,ss_struct_key,"2 SL "&amp;3),"0%")&amp;" of budget ("&amp;Inputs!$E$19&amp;" "&amp;TEXT(SUMIFS(ss_limit_amount,ss_struct_key,"2 SL "&amp;3)*IF(Inputs!$E$7="USD",Inputs!$E$6,1)/1000000,"#,##0.0")&amp;"m xs "&amp;Inputs!$E$19&amp;" "&amp;TEXT(SUMIFS(ss_ap_amount,ss_struct_key,"2 SL "&amp;3)*IF(Inputs!$E$7="USD",Inputs!$E$6,1)/1000000,"#,##0.0")&amp;"m"&amp;")",IF(INDEX(ss_sl_measure,MATCH("2 SL "&amp;3,ss_struct_key,0))="PCT_EPI",TEXT(SUMIFS(ss_limit_pct_epi,ss_struct_key,"2 SL "&amp;3),"0%")&amp;" xs "&amp;TEXT(SUMIFS(ss_ap_pct_epi,ss_struct_key,"2 SL "&amp;3),"0%")&amp;" of EPI ("&amp;Inputs!$E$19&amp;" "&amp;TEXT(SUMIFS(ss_limit_amount,ss_struct_key,"2 SL "&amp;3)*IF(Inputs!$E$7="USD",Inputs!$E$6,1)/1000000,"#,##0.0")&amp;"m xs "&amp;Inputs!$E$19&amp;" "&amp;TEXT(SUMIFS(ss_ap_amount,ss_struct_key,"2 SL "&amp;3)*IF(Inputs!$E$7="USD",Inputs!$E$6,1)/1000000,"#,##0.0")&amp;"m"&amp;")",Inputs!$E$19&amp;" "&amp;TEXT(SUMIFS(ss_limit_amount,ss_struct_key,"2 SL "&amp;3)*IF(Inputs!$E$7="USD",Inputs!$E$6,1)/1000000,"#,##0.0")&amp;"m xs "&amp;Inputs!$E$19&amp;" "&amp;TEXT(SUMIFS(ss_ap_amount,ss_struct_key,"2 SL "&amp;3)*IF(Inputs!$E$7="USD",Inputs!$E$6,1)/1000000,"#,##0.0")&amp;"m"))&amp;IF(INDEX(ss_pp_option,MATCH("2 SL "&amp;3,ss_struct_key,0))&gt;0," net of XoL",""),Pricing!$E$16),"")</f>
        <v/>
      </c>
      <c r="D15" s="37">
        <f>IF(Pricing!$D$16,Pricing!$S$16,"")</f>
        <v/>
      </c>
      <c r="E15" s="38">
        <f>IF(Pricing!$D$16,Pricing!$O$16*Inputs!$E$18,"")</f>
        <v/>
      </c>
      <c r="F15" s="39">
        <f>IF(Pricing!$D$16,Pricing!$T$16*IF(Inputs!$E$7="USD",Inputs!$E$6,1),"")</f>
        <v/>
      </c>
      <c r="G15" s="38">
        <f>IF(Pricing!$D$16,Pricing!$U$16*Inputs!$E$18,"")</f>
        <v/>
      </c>
      <c r="H15" s="38">
        <f>IF(Pricing!$D$16,Pricing!$V$16*Inputs!$E$18,"")</f>
        <v/>
      </c>
      <c r="I15" s="38">
        <f>IF(Pricing!$D$16,Pricing!$W$16*Inputs!$E$18,"")</f>
        <v/>
      </c>
      <c r="J15" s="40">
        <f>IF(Pricing!$D$16,Pricing!$Y$16,"")</f>
        <v/>
      </c>
    </row>
    <row r="16">
      <c r="B16" s="35">
        <f>IF(Pricing!$D$17,"Stop loss "&amp;4,"")</f>
        <v/>
      </c>
      <c r="C16" s="36">
        <f>IF(Pricing!$D$17,IFERROR(IF(INDEX(ss_sl_measure,MATCH("2 SL "&amp;4,ss_struct_key,0))="PCT_BUDGET",TEXT(SUMIFS(ss_limit_pct_budget,ss_struct_key,"2 SL "&amp;4),"0%")&amp;" xs "&amp;TEXT(SUMIFS(ss_ap_pct_budget,ss_struct_key,"2 SL "&amp;4),"0%")&amp;" of budget ("&amp;Inputs!$E$19&amp;" "&amp;TEXT(SUMIFS(ss_limit_amount,ss_struct_key,"2 SL "&amp;4)*IF(Inputs!$E$7="USD",Inputs!$E$6,1)/1000000,"#,##0.0")&amp;"m xs "&amp;Inputs!$E$19&amp;" "&amp;TEXT(SUMIFS(ss_ap_amount,ss_struct_key,"2 SL "&amp;4)*IF(Inputs!$E$7="USD",Inputs!$E$6,1)/1000000,"#,##0.0")&amp;"m"&amp;")",IF(INDEX(ss_sl_measure,MATCH("2 SL "&amp;4,ss_struct_key,0))="PCT_EPI",TEXT(SUMIFS(ss_limit_pct_epi,ss_struct_key,"2 SL "&amp;4),"0%")&amp;" xs "&amp;TEXT(SUMIFS(ss_ap_pct_epi,ss_struct_key,"2 SL "&amp;4),"0%")&amp;" of EPI ("&amp;Inputs!$E$19&amp;" "&amp;TEXT(SUMIFS(ss_limit_amount,ss_struct_key,"2 SL "&amp;4)*IF(Inputs!$E$7="USD",Inputs!$E$6,1)/1000000,"#,##0.0")&amp;"m xs "&amp;Inputs!$E$19&amp;" "&amp;TEXT(SUMIFS(ss_ap_amount,ss_struct_key,"2 SL "&amp;4)*IF(Inputs!$E$7="USD",Inputs!$E$6,1)/1000000,"#,##0.0")&amp;"m"&amp;")",Inputs!$E$19&amp;" "&amp;TEXT(SUMIFS(ss_limit_amount,ss_struct_key,"2 SL "&amp;4)*IF(Inputs!$E$7="USD",Inputs!$E$6,1)/1000000,"#,##0.0")&amp;"m xs "&amp;Inputs!$E$19&amp;" "&amp;TEXT(SUMIFS(ss_ap_amount,ss_struct_key,"2 SL "&amp;4)*IF(Inputs!$E$7="USD",Inputs!$E$6,1)/1000000,"#,##0.0")&amp;"m"))&amp;IF(INDEX(ss_pp_option,MATCH("2 SL "&amp;4,ss_struct_key,0))&gt;0," net of XoL",""),Pricing!$E$17),"")</f>
        <v/>
      </c>
      <c r="D16" s="37">
        <f>IF(Pricing!$D$17,Pricing!$S$17,"")</f>
        <v/>
      </c>
      <c r="E16" s="38">
        <f>IF(Pricing!$D$17,Pricing!$O$17*Inputs!$E$18,"")</f>
        <v/>
      </c>
      <c r="F16" s="39">
        <f>IF(Pricing!$D$17,Pricing!$T$17*IF(Inputs!$E$7="USD",Inputs!$E$6,1),"")</f>
        <v/>
      </c>
      <c r="G16" s="38">
        <f>IF(Pricing!$D$17,Pricing!$U$17*Inputs!$E$18,"")</f>
        <v/>
      </c>
      <c r="H16" s="38">
        <f>IF(Pricing!$D$17,Pricing!$V$17*Inputs!$E$18,"")</f>
        <v/>
      </c>
      <c r="I16" s="38">
        <f>IF(Pricing!$D$17,Pricing!$W$17*Inputs!$E$18,"")</f>
        <v/>
      </c>
      <c r="J16" s="40">
        <f>IF(Pricing!$D$17,Pricing!$Y$17,"")</f>
        <v/>
      </c>
    </row>
    <row r="18">
      <c r="B18" s="2" t="inlineStr">
        <is>
          <t>Premium per exposed life is in the display currency, full units. Per-person exposed lives are lives whose benefit limit exceeds the attachment point; stop loss and per-event use all lives.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Cedant impact: surplus / (loss) against the net claims budget</t>
        </is>
      </c>
    </row>
    <row r="2">
      <c r="A2" s="2">
        <f>"Amounts in "&amp;Inputs!$E$19&amp;IF(Inputs!$E$8=1000," thousands",IF(Inputs!$E$8=1000000," millions",""))&amp;". Surplus = budget - (claims net of recoveries + RI premium incl. reinstatement premium); return-period values are quantiles of the joint simulated outcome."</f>
        <v/>
      </c>
    </row>
    <row r="5">
      <c r="B5" s="25" t="inlineStr">
        <is>
          <t>Structure key</t>
        </is>
      </c>
      <c r="C5" s="25" t="inlineStr">
        <is>
          <t>0 NONE</t>
        </is>
      </c>
      <c r="D5" s="25" t="inlineStr">
        <is>
          <t>1 PP 1</t>
        </is>
      </c>
      <c r="E5" s="25" t="inlineStr">
        <is>
          <t>1 PP 2</t>
        </is>
      </c>
      <c r="F5" s="25" t="inlineStr">
        <is>
          <t>1 PP 3</t>
        </is>
      </c>
      <c r="G5" s="25" t="inlineStr">
        <is>
          <t>1 PP 4</t>
        </is>
      </c>
      <c r="H5" s="25" t="inlineStr">
        <is>
          <t>3 EV 1</t>
        </is>
      </c>
      <c r="I5" s="25" t="inlineStr">
        <is>
          <t>3 EV 2</t>
        </is>
      </c>
      <c r="J5" s="25" t="inlineStr">
        <is>
          <t>3 EV 3</t>
        </is>
      </c>
      <c r="K5" s="25" t="inlineStr">
        <is>
          <t>3 EV 4</t>
        </is>
      </c>
      <c r="L5" s="25" t="inlineStr">
        <is>
          <t>2 SL 1</t>
        </is>
      </c>
      <c r="M5" s="25" t="inlineStr">
        <is>
          <t>2 SL 2</t>
        </is>
      </c>
      <c r="N5" s="25" t="inlineStr">
        <is>
          <t>2 SL 3</t>
        </is>
      </c>
      <c r="O5" s="25" t="inlineStr">
        <is>
          <t>2 SL 4</t>
        </is>
      </c>
      <c r="P5" s="25" t="inlineStr">
        <is>
          <t>4 PROGRAMME</t>
        </is>
      </c>
    </row>
    <row r="6" ht="45" customHeight="1">
      <c r="B6" s="9" t="inlineStr">
        <is>
          <t>Structure</t>
        </is>
      </c>
      <c r="C6" s="41">
        <f>IF(COUNTIF(ss_struct_key,C$5)&gt;0,INDEX(ss_l_label,MATCH(C$5,ss_struct_key,0))&amp;IF(AND(LEFT(C$5,1)="2",C18+C19&gt;0)," + XoL","") ,"")</f>
        <v/>
      </c>
      <c r="D6" s="41">
        <f>IF(COUNTIF(ss_struct_key,D$5)&gt;0,INDEX(ss_l_label,MATCH(D$5,ss_struct_key,0))&amp;IF(AND(LEFT(D$5,1)="2",D18+D19&gt;0)," + XoL","") ,"")</f>
        <v/>
      </c>
      <c r="E6" s="41">
        <f>IF(COUNTIF(ss_struct_key,E$5)&gt;0,INDEX(ss_l_label,MATCH(E$5,ss_struct_key,0))&amp;IF(AND(LEFT(E$5,1)="2",E18+E19&gt;0)," + XoL","") ,"")</f>
        <v/>
      </c>
      <c r="F6" s="41">
        <f>IF(COUNTIF(ss_struct_key,F$5)&gt;0,INDEX(ss_l_label,MATCH(F$5,ss_struct_key,0))&amp;IF(AND(LEFT(F$5,1)="2",F18+F19&gt;0)," + XoL","") ,"")</f>
        <v/>
      </c>
      <c r="G6" s="41">
        <f>IF(COUNTIF(ss_struct_key,G$5)&gt;0,INDEX(ss_l_label,MATCH(G$5,ss_struct_key,0))&amp;IF(AND(LEFT(G$5,1)="2",G18+G19&gt;0)," + XoL","") ,"")</f>
        <v/>
      </c>
      <c r="H6" s="41">
        <f>IF(COUNTIF(ss_struct_key,H$5)&gt;0,INDEX(ss_l_label,MATCH(H$5,ss_struct_key,0))&amp;IF(AND(LEFT(H$5,1)="2",H18+H19&gt;0)," + XoL","") ,"")</f>
        <v/>
      </c>
      <c r="I6" s="41">
        <f>IF(COUNTIF(ss_struct_key,I$5)&gt;0,INDEX(ss_l_label,MATCH(I$5,ss_struct_key,0))&amp;IF(AND(LEFT(I$5,1)="2",I18+I19&gt;0)," + XoL","") ,"")</f>
        <v/>
      </c>
      <c r="J6" s="41">
        <f>IF(COUNTIF(ss_struct_key,J$5)&gt;0,INDEX(ss_l_label,MATCH(J$5,ss_struct_key,0))&amp;IF(AND(LEFT(J$5,1)="2",J18+J19&gt;0)," + XoL","") ,"")</f>
        <v/>
      </c>
      <c r="K6" s="41">
        <f>IF(COUNTIF(ss_struct_key,K$5)&gt;0,INDEX(ss_l_label,MATCH(K$5,ss_struct_key,0))&amp;IF(AND(LEFT(K$5,1)="2",K18+K19&gt;0)," + XoL","") ,"")</f>
        <v/>
      </c>
      <c r="L6" s="41">
        <f>IF(COUNTIF(ss_struct_key,L$5)&gt;0,INDEX(ss_l_label,MATCH(L$5,ss_struct_key,0))&amp;IF(AND(LEFT(L$5,1)="2",L18+L19&gt;0)," + XoL","") ,"")</f>
        <v/>
      </c>
      <c r="M6" s="41">
        <f>IF(COUNTIF(ss_struct_key,M$5)&gt;0,INDEX(ss_l_label,MATCH(M$5,ss_struct_key,0))&amp;IF(AND(LEFT(M$5,1)="2",M18+M19&gt;0)," + XoL","") ,"")</f>
        <v/>
      </c>
      <c r="N6" s="41">
        <f>IF(COUNTIF(ss_struct_key,N$5)&gt;0,INDEX(ss_l_label,MATCH(N$5,ss_struct_key,0))&amp;IF(AND(LEFT(N$5,1)="2",N18+N19&gt;0)," + XoL","") ,"")</f>
        <v/>
      </c>
      <c r="O6" s="41">
        <f>IF(COUNTIF(ss_struct_key,O$5)&gt;0,INDEX(ss_l_label,MATCH(O$5,ss_struct_key,0))&amp;IF(AND(LEFT(O$5,1)="2",O18+O19&gt;0)," + XoL","") ,"")</f>
        <v/>
      </c>
      <c r="P6" s="41">
        <f>IF(COUNTIF(ss_struct_key,P$5)&gt;0,INDEX(ss_l_label,MATCH(P$5,ss_struct_key,0))&amp;IF(AND(LEFT(P$5,1)="2",P18+P19&gt;0)," + XoL","") ,"")</f>
        <v/>
      </c>
    </row>
    <row r="7">
      <c r="B7" s="6" t="inlineStr">
        <is>
          <t>Annual RI premium (incl. expected reinstatement premium)</t>
        </is>
      </c>
      <c r="C7" s="38">
        <f>IF(COUNTIF(ss_struct_key,C$5)&gt;0,(C26+C27)*Inputs!$E$18,"")</f>
        <v/>
      </c>
      <c r="D7" s="38">
        <f>IF(COUNTIF(ss_struct_key,D$5)&gt;0,(D26+D27)*Inputs!$E$18,"")</f>
        <v/>
      </c>
      <c r="E7" s="38">
        <f>IF(COUNTIF(ss_struct_key,E$5)&gt;0,(E26+E27)*Inputs!$E$18,"")</f>
        <v/>
      </c>
      <c r="F7" s="38">
        <f>IF(COUNTIF(ss_struct_key,F$5)&gt;0,(F26+F27)*Inputs!$E$18,"")</f>
        <v/>
      </c>
      <c r="G7" s="38">
        <f>IF(COUNTIF(ss_struct_key,G$5)&gt;0,(G26+G27)*Inputs!$E$18,"")</f>
        <v/>
      </c>
      <c r="H7" s="38">
        <f>IF(COUNTIF(ss_struct_key,H$5)&gt;0,(H26+H27)*Inputs!$E$18,"")</f>
        <v/>
      </c>
      <c r="I7" s="38">
        <f>IF(COUNTIF(ss_struct_key,I$5)&gt;0,(I26+I27)*Inputs!$E$18,"")</f>
        <v/>
      </c>
      <c r="J7" s="38">
        <f>IF(COUNTIF(ss_struct_key,J$5)&gt;0,(J26+J27)*Inputs!$E$18,"")</f>
        <v/>
      </c>
      <c r="K7" s="38">
        <f>IF(COUNTIF(ss_struct_key,K$5)&gt;0,(K26+K27)*Inputs!$E$18,"")</f>
        <v/>
      </c>
      <c r="L7" s="38">
        <f>IF(COUNTIF(ss_struct_key,L$5)&gt;0,(L26+L27)*Inputs!$E$18,"")</f>
        <v/>
      </c>
      <c r="M7" s="38">
        <f>IF(COUNTIF(ss_struct_key,M$5)&gt;0,(M26+M27)*Inputs!$E$18,"")</f>
        <v/>
      </c>
      <c r="N7" s="38">
        <f>IF(COUNTIF(ss_struct_key,N$5)&gt;0,(N26+N27)*Inputs!$E$18,"")</f>
        <v/>
      </c>
      <c r="O7" s="38">
        <f>IF(COUNTIF(ss_struct_key,O$5)&gt;0,(O26+O27)*Inputs!$E$18,"")</f>
        <v/>
      </c>
      <c r="P7" s="38">
        <f>IF(COUNTIF(ss_struct_key,P$5)&gt;0,(P26+P27)*Inputs!$E$18,"")</f>
        <v/>
      </c>
    </row>
    <row r="8">
      <c r="B8" s="6" t="inlineStr">
        <is>
          <t>Net claims budget</t>
        </is>
      </c>
      <c r="C8" s="38">
        <f>IF(COUNTIF(ss_struct_key,C$5)&gt;0,Inputs!$E$12*Inputs!$E$18,"")</f>
        <v/>
      </c>
      <c r="D8" s="38">
        <f>IF(COUNTIF(ss_struct_key,D$5)&gt;0,Inputs!$E$12*Inputs!$E$18,"")</f>
        <v/>
      </c>
      <c r="E8" s="38">
        <f>IF(COUNTIF(ss_struct_key,E$5)&gt;0,Inputs!$E$12*Inputs!$E$18,"")</f>
        <v/>
      </c>
      <c r="F8" s="38">
        <f>IF(COUNTIF(ss_struct_key,F$5)&gt;0,Inputs!$E$12*Inputs!$E$18,"")</f>
        <v/>
      </c>
      <c r="G8" s="38">
        <f>IF(COUNTIF(ss_struct_key,G$5)&gt;0,Inputs!$E$12*Inputs!$E$18,"")</f>
        <v/>
      </c>
      <c r="H8" s="38">
        <f>IF(COUNTIF(ss_struct_key,H$5)&gt;0,Inputs!$E$12*Inputs!$E$18,"")</f>
        <v/>
      </c>
      <c r="I8" s="38">
        <f>IF(COUNTIF(ss_struct_key,I$5)&gt;0,Inputs!$E$12*Inputs!$E$18,"")</f>
        <v/>
      </c>
      <c r="J8" s="38">
        <f>IF(COUNTIF(ss_struct_key,J$5)&gt;0,Inputs!$E$12*Inputs!$E$18,"")</f>
        <v/>
      </c>
      <c r="K8" s="38">
        <f>IF(COUNTIF(ss_struct_key,K$5)&gt;0,Inputs!$E$12*Inputs!$E$18,"")</f>
        <v/>
      </c>
      <c r="L8" s="38">
        <f>IF(COUNTIF(ss_struct_key,L$5)&gt;0,Inputs!$E$12*Inputs!$E$18,"")</f>
        <v/>
      </c>
      <c r="M8" s="38">
        <f>IF(COUNTIF(ss_struct_key,M$5)&gt;0,Inputs!$E$12*Inputs!$E$18,"")</f>
        <v/>
      </c>
      <c r="N8" s="38">
        <f>IF(COUNTIF(ss_struct_key,N$5)&gt;0,Inputs!$E$12*Inputs!$E$18,"")</f>
        <v/>
      </c>
      <c r="O8" s="38">
        <f>IF(COUNTIF(ss_struct_key,O$5)&gt;0,Inputs!$E$12*Inputs!$E$18,"")</f>
        <v/>
      </c>
      <c r="P8" s="38">
        <f>IF(COUNTIF(ss_struct_key,P$5)&gt;0,Inputs!$E$12*Inputs!$E$18,"")</f>
        <v/>
      </c>
    </row>
    <row r="10">
      <c r="B10" s="9" t="inlineStr">
        <is>
          <t>Surplus / (loss) against the net claims budget</t>
        </is>
      </c>
    </row>
    <row r="11">
      <c r="B11" s="6" t="inlineStr">
        <is>
          <t>Average year</t>
        </is>
      </c>
      <c r="C11" s="42">
        <f>IF(COUNTIF(ss_struct_key,C$5)&gt;0,(Inputs!$E$12-C28-C26-C27)*Inputs!$E$18,"")</f>
        <v/>
      </c>
      <c r="D11" s="42">
        <f>IF(COUNTIF(ss_struct_key,D$5)&gt;0,(Inputs!$E$12-D28-D26-D27)*Inputs!$E$18,"")</f>
        <v/>
      </c>
      <c r="E11" s="42">
        <f>IF(COUNTIF(ss_struct_key,E$5)&gt;0,(Inputs!$E$12-E28-E26-E27)*Inputs!$E$18,"")</f>
        <v/>
      </c>
      <c r="F11" s="42">
        <f>IF(COUNTIF(ss_struct_key,F$5)&gt;0,(Inputs!$E$12-F28-F26-F27)*Inputs!$E$18,"")</f>
        <v/>
      </c>
      <c r="G11" s="42">
        <f>IF(COUNTIF(ss_struct_key,G$5)&gt;0,(Inputs!$E$12-G28-G26-G27)*Inputs!$E$18,"")</f>
        <v/>
      </c>
      <c r="H11" s="42">
        <f>IF(COUNTIF(ss_struct_key,H$5)&gt;0,(Inputs!$E$12-H28-H26-H27)*Inputs!$E$18,"")</f>
        <v/>
      </c>
      <c r="I11" s="42">
        <f>IF(COUNTIF(ss_struct_key,I$5)&gt;0,(Inputs!$E$12-I28-I26-I27)*Inputs!$E$18,"")</f>
        <v/>
      </c>
      <c r="J11" s="42">
        <f>IF(COUNTIF(ss_struct_key,J$5)&gt;0,(Inputs!$E$12-J28-J26-J27)*Inputs!$E$18,"")</f>
        <v/>
      </c>
      <c r="K11" s="42">
        <f>IF(COUNTIF(ss_struct_key,K$5)&gt;0,(Inputs!$E$12-K28-K26-K27)*Inputs!$E$18,"")</f>
        <v/>
      </c>
      <c r="L11" s="42">
        <f>IF(COUNTIF(ss_struct_key,L$5)&gt;0,(Inputs!$E$12-L28-L26-L27)*Inputs!$E$18,"")</f>
        <v/>
      </c>
      <c r="M11" s="42">
        <f>IF(COUNTIF(ss_struct_key,M$5)&gt;0,(Inputs!$E$12-M28-M26-M27)*Inputs!$E$18,"")</f>
        <v/>
      </c>
      <c r="N11" s="42">
        <f>IF(COUNTIF(ss_struct_key,N$5)&gt;0,(Inputs!$E$12-N28-N26-N27)*Inputs!$E$18,"")</f>
        <v/>
      </c>
      <c r="O11" s="42">
        <f>IF(COUNTIF(ss_struct_key,O$5)&gt;0,(Inputs!$E$12-O28-O26-O27)*Inputs!$E$18,"")</f>
        <v/>
      </c>
      <c r="P11" s="42">
        <f>IF(COUNTIF(ss_struct_key,P$5)&gt;0,(Inputs!$E$12-P28-P26-P27)*Inputs!$E$18,"")</f>
        <v/>
      </c>
    </row>
    <row r="12">
      <c r="B12" s="6">
        <f>"1 in "&amp;TEXT(Inputs!$E$13,"0")&amp;" years"</f>
        <v/>
      </c>
      <c r="C12" s="42">
        <f>IF(COUNTIF(ss_struct_key,C$5)&gt;0,(Inputs!$E$12-C33-C26-C36)*Inputs!$E$18,"")</f>
        <v/>
      </c>
      <c r="D12" s="42">
        <f>IF(COUNTIF(ss_struct_key,D$5)&gt;0,(Inputs!$E$12-D33-D26-D36)*Inputs!$E$18,"")</f>
        <v/>
      </c>
      <c r="E12" s="42">
        <f>IF(COUNTIF(ss_struct_key,E$5)&gt;0,(Inputs!$E$12-E33-E26-E36)*Inputs!$E$18,"")</f>
        <v/>
      </c>
      <c r="F12" s="42">
        <f>IF(COUNTIF(ss_struct_key,F$5)&gt;0,(Inputs!$E$12-F33-F26-F36)*Inputs!$E$18,"")</f>
        <v/>
      </c>
      <c r="G12" s="42">
        <f>IF(COUNTIF(ss_struct_key,G$5)&gt;0,(Inputs!$E$12-G33-G26-G36)*Inputs!$E$18,"")</f>
        <v/>
      </c>
      <c r="H12" s="42">
        <f>IF(COUNTIF(ss_struct_key,H$5)&gt;0,(Inputs!$E$12-H33-H26-H36)*Inputs!$E$18,"")</f>
        <v/>
      </c>
      <c r="I12" s="42">
        <f>IF(COUNTIF(ss_struct_key,I$5)&gt;0,(Inputs!$E$12-I33-I26-I36)*Inputs!$E$18,"")</f>
        <v/>
      </c>
      <c r="J12" s="42">
        <f>IF(COUNTIF(ss_struct_key,J$5)&gt;0,(Inputs!$E$12-J33-J26-J36)*Inputs!$E$18,"")</f>
        <v/>
      </c>
      <c r="K12" s="42">
        <f>IF(COUNTIF(ss_struct_key,K$5)&gt;0,(Inputs!$E$12-K33-K26-K36)*Inputs!$E$18,"")</f>
        <v/>
      </c>
      <c r="L12" s="42">
        <f>IF(COUNTIF(ss_struct_key,L$5)&gt;0,(Inputs!$E$12-L33-L26-L36)*Inputs!$E$18,"")</f>
        <v/>
      </c>
      <c r="M12" s="42">
        <f>IF(COUNTIF(ss_struct_key,M$5)&gt;0,(Inputs!$E$12-M33-M26-M36)*Inputs!$E$18,"")</f>
        <v/>
      </c>
      <c r="N12" s="42">
        <f>IF(COUNTIF(ss_struct_key,N$5)&gt;0,(Inputs!$E$12-N33-N26-N36)*Inputs!$E$18,"")</f>
        <v/>
      </c>
      <c r="O12" s="42">
        <f>IF(COUNTIF(ss_struct_key,O$5)&gt;0,(Inputs!$E$12-O33-O26-O36)*Inputs!$E$18,"")</f>
        <v/>
      </c>
      <c r="P12" s="42">
        <f>IF(COUNTIF(ss_struct_key,P$5)&gt;0,(Inputs!$E$12-P33-P26-P36)*Inputs!$E$18,"")</f>
        <v/>
      </c>
    </row>
    <row r="13">
      <c r="B13" s="6">
        <f>"1 in "&amp;TEXT(Inputs!$E$14,"0")&amp;" years"</f>
        <v/>
      </c>
      <c r="C13" s="42">
        <f>IF(COUNTIF(ss_struct_key,C$5)&gt;0,(Inputs!$E$12-C34-C26-C37)*Inputs!$E$18,"")</f>
        <v/>
      </c>
      <c r="D13" s="42">
        <f>IF(COUNTIF(ss_struct_key,D$5)&gt;0,(Inputs!$E$12-D34-D26-D37)*Inputs!$E$18,"")</f>
        <v/>
      </c>
      <c r="E13" s="42">
        <f>IF(COUNTIF(ss_struct_key,E$5)&gt;0,(Inputs!$E$12-E34-E26-E37)*Inputs!$E$18,"")</f>
        <v/>
      </c>
      <c r="F13" s="42">
        <f>IF(COUNTIF(ss_struct_key,F$5)&gt;0,(Inputs!$E$12-F34-F26-F37)*Inputs!$E$18,"")</f>
        <v/>
      </c>
      <c r="G13" s="42">
        <f>IF(COUNTIF(ss_struct_key,G$5)&gt;0,(Inputs!$E$12-G34-G26-G37)*Inputs!$E$18,"")</f>
        <v/>
      </c>
      <c r="H13" s="42">
        <f>IF(COUNTIF(ss_struct_key,H$5)&gt;0,(Inputs!$E$12-H34-H26-H37)*Inputs!$E$18,"")</f>
        <v/>
      </c>
      <c r="I13" s="42">
        <f>IF(COUNTIF(ss_struct_key,I$5)&gt;0,(Inputs!$E$12-I34-I26-I37)*Inputs!$E$18,"")</f>
        <v/>
      </c>
      <c r="J13" s="42">
        <f>IF(COUNTIF(ss_struct_key,J$5)&gt;0,(Inputs!$E$12-J34-J26-J37)*Inputs!$E$18,"")</f>
        <v/>
      </c>
      <c r="K13" s="42">
        <f>IF(COUNTIF(ss_struct_key,K$5)&gt;0,(Inputs!$E$12-K34-K26-K37)*Inputs!$E$18,"")</f>
        <v/>
      </c>
      <c r="L13" s="42">
        <f>IF(COUNTIF(ss_struct_key,L$5)&gt;0,(Inputs!$E$12-L34-L26-L37)*Inputs!$E$18,"")</f>
        <v/>
      </c>
      <c r="M13" s="42">
        <f>IF(COUNTIF(ss_struct_key,M$5)&gt;0,(Inputs!$E$12-M34-M26-M37)*Inputs!$E$18,"")</f>
        <v/>
      </c>
      <c r="N13" s="42">
        <f>IF(COUNTIF(ss_struct_key,N$5)&gt;0,(Inputs!$E$12-N34-N26-N37)*Inputs!$E$18,"")</f>
        <v/>
      </c>
      <c r="O13" s="42">
        <f>IF(COUNTIF(ss_struct_key,O$5)&gt;0,(Inputs!$E$12-O34-O26-O37)*Inputs!$E$18,"")</f>
        <v/>
      </c>
      <c r="P13" s="42">
        <f>IF(COUNTIF(ss_struct_key,P$5)&gt;0,(Inputs!$E$12-P34-P26-P37)*Inputs!$E$18,"")</f>
        <v/>
      </c>
    </row>
    <row r="14">
      <c r="B14" s="6">
        <f>"1 in "&amp;TEXT(Inputs!$E$15,"0")&amp;" years"</f>
        <v/>
      </c>
      <c r="C14" s="42">
        <f>IF(COUNTIF(ss_struct_key,C$5)&gt;0,(Inputs!$E$12-C35-C26-C38)*Inputs!$E$18,"")</f>
        <v/>
      </c>
      <c r="D14" s="42">
        <f>IF(COUNTIF(ss_struct_key,D$5)&gt;0,(Inputs!$E$12-D35-D26-D38)*Inputs!$E$18,"")</f>
        <v/>
      </c>
      <c r="E14" s="42">
        <f>IF(COUNTIF(ss_struct_key,E$5)&gt;0,(Inputs!$E$12-E35-E26-E38)*Inputs!$E$18,"")</f>
        <v/>
      </c>
      <c r="F14" s="42">
        <f>IF(COUNTIF(ss_struct_key,F$5)&gt;0,(Inputs!$E$12-F35-F26-F38)*Inputs!$E$18,"")</f>
        <v/>
      </c>
      <c r="G14" s="42">
        <f>IF(COUNTIF(ss_struct_key,G$5)&gt;0,(Inputs!$E$12-G35-G26-G38)*Inputs!$E$18,"")</f>
        <v/>
      </c>
      <c r="H14" s="42">
        <f>IF(COUNTIF(ss_struct_key,H$5)&gt;0,(Inputs!$E$12-H35-H26-H38)*Inputs!$E$18,"")</f>
        <v/>
      </c>
      <c r="I14" s="42">
        <f>IF(COUNTIF(ss_struct_key,I$5)&gt;0,(Inputs!$E$12-I35-I26-I38)*Inputs!$E$18,"")</f>
        <v/>
      </c>
      <c r="J14" s="42">
        <f>IF(COUNTIF(ss_struct_key,J$5)&gt;0,(Inputs!$E$12-J35-J26-J38)*Inputs!$E$18,"")</f>
        <v/>
      </c>
      <c r="K14" s="42">
        <f>IF(COUNTIF(ss_struct_key,K$5)&gt;0,(Inputs!$E$12-K35-K26-K38)*Inputs!$E$18,"")</f>
        <v/>
      </c>
      <c r="L14" s="42">
        <f>IF(COUNTIF(ss_struct_key,L$5)&gt;0,(Inputs!$E$12-L35-L26-L38)*Inputs!$E$18,"")</f>
        <v/>
      </c>
      <c r="M14" s="42">
        <f>IF(COUNTIF(ss_struct_key,M$5)&gt;0,(Inputs!$E$12-M35-M26-M38)*Inputs!$E$18,"")</f>
        <v/>
      </c>
      <c r="N14" s="42">
        <f>IF(COUNTIF(ss_struct_key,N$5)&gt;0,(Inputs!$E$12-N35-N26-N38)*Inputs!$E$18,"")</f>
        <v/>
      </c>
      <c r="O14" s="42">
        <f>IF(COUNTIF(ss_struct_key,O$5)&gt;0,(Inputs!$E$12-O35-O26-O38)*Inputs!$E$18,"")</f>
        <v/>
      </c>
      <c r="P14" s="42">
        <f>IF(COUNTIF(ss_struct_key,P$5)&gt;0,(Inputs!$E$12-P35-P26-P38)*Inputs!$E$18,"")</f>
        <v/>
      </c>
    </row>
    <row r="17">
      <c r="B17" s="9" t="inlineStr">
        <is>
          <t>Workings (quote currency, full units)</t>
        </is>
      </c>
    </row>
    <row r="18">
      <c r="B18" s="25" t="inlineStr">
        <is>
          <t>PP option</t>
        </is>
      </c>
      <c r="C18" s="25">
        <f>IFERROR(INDEX(ss_pp_option,MATCH(C$5,ss_struct_key,0)),0)</f>
        <v/>
      </c>
      <c r="D18" s="25">
        <f>IFERROR(INDEX(ss_pp_option,MATCH(D$5,ss_struct_key,0)),0)</f>
        <v/>
      </c>
      <c r="E18" s="25">
        <f>IFERROR(INDEX(ss_pp_option,MATCH(E$5,ss_struct_key,0)),0)</f>
        <v/>
      </c>
      <c r="F18" s="25">
        <f>IFERROR(INDEX(ss_pp_option,MATCH(F$5,ss_struct_key,0)),0)</f>
        <v/>
      </c>
      <c r="G18" s="25">
        <f>IFERROR(INDEX(ss_pp_option,MATCH(G$5,ss_struct_key,0)),0)</f>
        <v/>
      </c>
      <c r="H18" s="25">
        <f>IFERROR(INDEX(ss_pp_option,MATCH(H$5,ss_struct_key,0)),0)</f>
        <v/>
      </c>
      <c r="I18" s="25">
        <f>IFERROR(INDEX(ss_pp_option,MATCH(I$5,ss_struct_key,0)),0)</f>
        <v/>
      </c>
      <c r="J18" s="25">
        <f>IFERROR(INDEX(ss_pp_option,MATCH(J$5,ss_struct_key,0)),0)</f>
        <v/>
      </c>
      <c r="K18" s="25">
        <f>IFERROR(INDEX(ss_pp_option,MATCH(K$5,ss_struct_key,0)),0)</f>
        <v/>
      </c>
      <c r="L18" s="25">
        <f>IFERROR(INDEX(ss_pp_option,MATCH(L$5,ss_struct_key,0)),0)</f>
        <v/>
      </c>
      <c r="M18" s="25">
        <f>IFERROR(INDEX(ss_pp_option,MATCH(M$5,ss_struct_key,0)),0)</f>
        <v/>
      </c>
      <c r="N18" s="25">
        <f>IFERROR(INDEX(ss_pp_option,MATCH(N$5,ss_struct_key,0)),0)</f>
        <v/>
      </c>
      <c r="O18" s="25">
        <f>IFERROR(INDEX(ss_pp_option,MATCH(O$5,ss_struct_key,0)),0)</f>
        <v/>
      </c>
      <c r="P18" s="25">
        <f>IFERROR(INDEX(ss_pp_option,MATCH(P$5,ss_struct_key,0)),0)</f>
        <v/>
      </c>
    </row>
    <row r="19">
      <c r="B19" s="25" t="inlineStr">
        <is>
          <t>EV option</t>
        </is>
      </c>
      <c r="C19" s="25">
        <f>IFERROR(INDEX(ss_ev_option,MATCH(C$5,ss_struct_key,0)),0)</f>
        <v/>
      </c>
      <c r="D19" s="25">
        <f>IFERROR(INDEX(ss_ev_option,MATCH(D$5,ss_struct_key,0)),0)</f>
        <v/>
      </c>
      <c r="E19" s="25">
        <f>IFERROR(INDEX(ss_ev_option,MATCH(E$5,ss_struct_key,0)),0)</f>
        <v/>
      </c>
      <c r="F19" s="25">
        <f>IFERROR(INDEX(ss_ev_option,MATCH(F$5,ss_struct_key,0)),0)</f>
        <v/>
      </c>
      <c r="G19" s="25">
        <f>IFERROR(INDEX(ss_ev_option,MATCH(G$5,ss_struct_key,0)),0)</f>
        <v/>
      </c>
      <c r="H19" s="25">
        <f>IFERROR(INDEX(ss_ev_option,MATCH(H$5,ss_struct_key,0)),0)</f>
        <v/>
      </c>
      <c r="I19" s="25">
        <f>IFERROR(INDEX(ss_ev_option,MATCH(I$5,ss_struct_key,0)),0)</f>
        <v/>
      </c>
      <c r="J19" s="25">
        <f>IFERROR(INDEX(ss_ev_option,MATCH(J$5,ss_struct_key,0)),0)</f>
        <v/>
      </c>
      <c r="K19" s="25">
        <f>IFERROR(INDEX(ss_ev_option,MATCH(K$5,ss_struct_key,0)),0)</f>
        <v/>
      </c>
      <c r="L19" s="25">
        <f>IFERROR(INDEX(ss_ev_option,MATCH(L$5,ss_struct_key,0)),0)</f>
        <v/>
      </c>
      <c r="M19" s="25">
        <f>IFERROR(INDEX(ss_ev_option,MATCH(M$5,ss_struct_key,0)),0)</f>
        <v/>
      </c>
      <c r="N19" s="25">
        <f>IFERROR(INDEX(ss_ev_option,MATCH(N$5,ss_struct_key,0)),0)</f>
        <v/>
      </c>
      <c r="O19" s="25">
        <f>IFERROR(INDEX(ss_ev_option,MATCH(O$5,ss_struct_key,0)),0)</f>
        <v/>
      </c>
      <c r="P19" s="25">
        <f>IFERROR(INDEX(ss_ev_option,MATCH(P$5,ss_struct_key,0)),0)</f>
        <v/>
      </c>
    </row>
    <row r="20">
      <c r="B20" s="25" t="inlineStr">
        <is>
          <t>SL option</t>
        </is>
      </c>
      <c r="C20" s="25">
        <f>IFERROR(INDEX(ss_sl_option,MATCH(C$5,ss_struct_key,0)),0)</f>
        <v/>
      </c>
      <c r="D20" s="25">
        <f>IFERROR(INDEX(ss_sl_option,MATCH(D$5,ss_struct_key,0)),0)</f>
        <v/>
      </c>
      <c r="E20" s="25">
        <f>IFERROR(INDEX(ss_sl_option,MATCH(E$5,ss_struct_key,0)),0)</f>
        <v/>
      </c>
      <c r="F20" s="25">
        <f>IFERROR(INDEX(ss_sl_option,MATCH(F$5,ss_struct_key,0)),0)</f>
        <v/>
      </c>
      <c r="G20" s="25">
        <f>IFERROR(INDEX(ss_sl_option,MATCH(G$5,ss_struct_key,0)),0)</f>
        <v/>
      </c>
      <c r="H20" s="25">
        <f>IFERROR(INDEX(ss_sl_option,MATCH(H$5,ss_struct_key,0)),0)</f>
        <v/>
      </c>
      <c r="I20" s="25">
        <f>IFERROR(INDEX(ss_sl_option,MATCH(I$5,ss_struct_key,0)),0)</f>
        <v/>
      </c>
      <c r="J20" s="25">
        <f>IFERROR(INDEX(ss_sl_option,MATCH(J$5,ss_struct_key,0)),0)</f>
        <v/>
      </c>
      <c r="K20" s="25">
        <f>IFERROR(INDEX(ss_sl_option,MATCH(K$5,ss_struct_key,0)),0)</f>
        <v/>
      </c>
      <c r="L20" s="25">
        <f>IFERROR(INDEX(ss_sl_option,MATCH(L$5,ss_struct_key,0)),0)</f>
        <v/>
      </c>
      <c r="M20" s="25">
        <f>IFERROR(INDEX(ss_sl_option,MATCH(M$5,ss_struct_key,0)),0)</f>
        <v/>
      </c>
      <c r="N20" s="25">
        <f>IFERROR(INDEX(ss_sl_option,MATCH(N$5,ss_struct_key,0)),0)</f>
        <v/>
      </c>
      <c r="O20" s="25">
        <f>IFERROR(INDEX(ss_sl_option,MATCH(O$5,ss_struct_key,0)),0)</f>
        <v/>
      </c>
      <c r="P20" s="25">
        <f>IFERROR(INDEX(ss_sl_option,MATCH(P$5,ss_struct_key,0)),0)</f>
        <v/>
      </c>
    </row>
    <row r="21">
      <c r="B21" s="25" t="inlineStr">
        <is>
          <t>Premium PP layer 1</t>
        </is>
      </c>
      <c r="C21" s="43">
        <f>IF(C18&gt;0,INDEX(Pricing!$Z$6:$Z$9,C18),0)</f>
        <v/>
      </c>
      <c r="D21" s="43">
        <f>IF(D18&gt;0,INDEX(Pricing!$Z$6:$Z$9,D18),0)</f>
        <v/>
      </c>
      <c r="E21" s="43">
        <f>IF(E18&gt;0,INDEX(Pricing!$Z$6:$Z$9,E18),0)</f>
        <v/>
      </c>
      <c r="F21" s="43">
        <f>IF(F18&gt;0,INDEX(Pricing!$Z$6:$Z$9,F18),0)</f>
        <v/>
      </c>
      <c r="G21" s="43">
        <f>IF(G18&gt;0,INDEX(Pricing!$Z$6:$Z$9,G18),0)</f>
        <v/>
      </c>
      <c r="H21" s="43">
        <f>IF(H18&gt;0,INDEX(Pricing!$Z$6:$Z$9,H18),0)</f>
        <v/>
      </c>
      <c r="I21" s="43">
        <f>IF(I18&gt;0,INDEX(Pricing!$Z$6:$Z$9,I18),0)</f>
        <v/>
      </c>
      <c r="J21" s="43">
        <f>IF(J18&gt;0,INDEX(Pricing!$Z$6:$Z$9,J18),0)</f>
        <v/>
      </c>
      <c r="K21" s="43">
        <f>IF(K18&gt;0,INDEX(Pricing!$Z$6:$Z$9,K18),0)</f>
        <v/>
      </c>
      <c r="L21" s="43">
        <f>IF(L18&gt;0,INDEX(Pricing!$Z$6:$Z$9,L18),0)</f>
        <v/>
      </c>
      <c r="M21" s="43">
        <f>IF(M18&gt;0,INDEX(Pricing!$Z$6:$Z$9,M18),0)</f>
        <v/>
      </c>
      <c r="N21" s="43">
        <f>IF(N18&gt;0,INDEX(Pricing!$Z$6:$Z$9,N18),0)</f>
        <v/>
      </c>
      <c r="O21" s="43">
        <f>IF(O18&gt;0,INDEX(Pricing!$Z$6:$Z$9,O18),0)</f>
        <v/>
      </c>
      <c r="P21" s="43">
        <f>IF(P18&gt;0,INDEX(Pricing!$Z$6:$Z$9,P18),0)</f>
        <v/>
      </c>
    </row>
    <row r="22">
      <c r="B22" s="25" t="inlineStr">
        <is>
          <t>Premium PP layer 2</t>
        </is>
      </c>
      <c r="C22" s="43">
        <f>IF(C18&gt;0,INDEX(Pricing!$AA$6:$AA$9,C18),0)</f>
        <v/>
      </c>
      <c r="D22" s="43">
        <f>IF(D18&gt;0,INDEX(Pricing!$AA$6:$AA$9,D18),0)</f>
        <v/>
      </c>
      <c r="E22" s="43">
        <f>IF(E18&gt;0,INDEX(Pricing!$AA$6:$AA$9,E18),0)</f>
        <v/>
      </c>
      <c r="F22" s="43">
        <f>IF(F18&gt;0,INDEX(Pricing!$AA$6:$AA$9,F18),0)</f>
        <v/>
      </c>
      <c r="G22" s="43">
        <f>IF(G18&gt;0,INDEX(Pricing!$AA$6:$AA$9,G18),0)</f>
        <v/>
      </c>
      <c r="H22" s="43">
        <f>IF(H18&gt;0,INDEX(Pricing!$AA$6:$AA$9,H18),0)</f>
        <v/>
      </c>
      <c r="I22" s="43">
        <f>IF(I18&gt;0,INDEX(Pricing!$AA$6:$AA$9,I18),0)</f>
        <v/>
      </c>
      <c r="J22" s="43">
        <f>IF(J18&gt;0,INDEX(Pricing!$AA$6:$AA$9,J18),0)</f>
        <v/>
      </c>
      <c r="K22" s="43">
        <f>IF(K18&gt;0,INDEX(Pricing!$AA$6:$AA$9,K18),0)</f>
        <v/>
      </c>
      <c r="L22" s="43">
        <f>IF(L18&gt;0,INDEX(Pricing!$AA$6:$AA$9,L18),0)</f>
        <v/>
      </c>
      <c r="M22" s="43">
        <f>IF(M18&gt;0,INDEX(Pricing!$AA$6:$AA$9,M18),0)</f>
        <v/>
      </c>
      <c r="N22" s="43">
        <f>IF(N18&gt;0,INDEX(Pricing!$AA$6:$AA$9,N18),0)</f>
        <v/>
      </c>
      <c r="O22" s="43">
        <f>IF(O18&gt;0,INDEX(Pricing!$AA$6:$AA$9,O18),0)</f>
        <v/>
      </c>
      <c r="P22" s="43">
        <f>IF(P18&gt;0,INDEX(Pricing!$AA$6:$AA$9,P18),0)</f>
        <v/>
      </c>
    </row>
    <row r="23">
      <c r="B23" s="25" t="inlineStr">
        <is>
          <t>Premium EV layer 1</t>
        </is>
      </c>
      <c r="C23" s="43">
        <f>IF(C19&gt;0,INDEX(Pricing!$Z$10:$Z$13,C19),0)</f>
        <v/>
      </c>
      <c r="D23" s="43">
        <f>IF(D19&gt;0,INDEX(Pricing!$Z$10:$Z$13,D19),0)</f>
        <v/>
      </c>
      <c r="E23" s="43">
        <f>IF(E19&gt;0,INDEX(Pricing!$Z$10:$Z$13,E19),0)</f>
        <v/>
      </c>
      <c r="F23" s="43">
        <f>IF(F19&gt;0,INDEX(Pricing!$Z$10:$Z$13,F19),0)</f>
        <v/>
      </c>
      <c r="G23" s="43">
        <f>IF(G19&gt;0,INDEX(Pricing!$Z$10:$Z$13,G19),0)</f>
        <v/>
      </c>
      <c r="H23" s="43">
        <f>IF(H19&gt;0,INDEX(Pricing!$Z$10:$Z$13,H19),0)</f>
        <v/>
      </c>
      <c r="I23" s="43">
        <f>IF(I19&gt;0,INDEX(Pricing!$Z$10:$Z$13,I19),0)</f>
        <v/>
      </c>
      <c r="J23" s="43">
        <f>IF(J19&gt;0,INDEX(Pricing!$Z$10:$Z$13,J19),0)</f>
        <v/>
      </c>
      <c r="K23" s="43">
        <f>IF(K19&gt;0,INDEX(Pricing!$Z$10:$Z$13,K19),0)</f>
        <v/>
      </c>
      <c r="L23" s="43">
        <f>IF(L19&gt;0,INDEX(Pricing!$Z$10:$Z$13,L19),0)</f>
        <v/>
      </c>
      <c r="M23" s="43">
        <f>IF(M19&gt;0,INDEX(Pricing!$Z$10:$Z$13,M19),0)</f>
        <v/>
      </c>
      <c r="N23" s="43">
        <f>IF(N19&gt;0,INDEX(Pricing!$Z$10:$Z$13,N19),0)</f>
        <v/>
      </c>
      <c r="O23" s="43">
        <f>IF(O19&gt;0,INDEX(Pricing!$Z$10:$Z$13,O19),0)</f>
        <v/>
      </c>
      <c r="P23" s="43">
        <f>IF(P19&gt;0,INDEX(Pricing!$Z$10:$Z$13,P19),0)</f>
        <v/>
      </c>
    </row>
    <row r="24">
      <c r="B24" s="25" t="inlineStr">
        <is>
          <t>Premium EV layer 2</t>
        </is>
      </c>
      <c r="C24" s="43">
        <f>IF(C19&gt;0,INDEX(Pricing!$AA$10:$AA$13,C19),0)</f>
        <v/>
      </c>
      <c r="D24" s="43">
        <f>IF(D19&gt;0,INDEX(Pricing!$AA$10:$AA$13,D19),0)</f>
        <v/>
      </c>
      <c r="E24" s="43">
        <f>IF(E19&gt;0,INDEX(Pricing!$AA$10:$AA$13,E19),0)</f>
        <v/>
      </c>
      <c r="F24" s="43">
        <f>IF(F19&gt;0,INDEX(Pricing!$AA$10:$AA$13,F19),0)</f>
        <v/>
      </c>
      <c r="G24" s="43">
        <f>IF(G19&gt;0,INDEX(Pricing!$AA$10:$AA$13,G19),0)</f>
        <v/>
      </c>
      <c r="H24" s="43">
        <f>IF(H19&gt;0,INDEX(Pricing!$AA$10:$AA$13,H19),0)</f>
        <v/>
      </c>
      <c r="I24" s="43">
        <f>IF(I19&gt;0,INDEX(Pricing!$AA$10:$AA$13,I19),0)</f>
        <v/>
      </c>
      <c r="J24" s="43">
        <f>IF(J19&gt;0,INDEX(Pricing!$AA$10:$AA$13,J19),0)</f>
        <v/>
      </c>
      <c r="K24" s="43">
        <f>IF(K19&gt;0,INDEX(Pricing!$AA$10:$AA$13,K19),0)</f>
        <v/>
      </c>
      <c r="L24" s="43">
        <f>IF(L19&gt;0,INDEX(Pricing!$AA$10:$AA$13,L19),0)</f>
        <v/>
      </c>
      <c r="M24" s="43">
        <f>IF(M19&gt;0,INDEX(Pricing!$AA$10:$AA$13,M19),0)</f>
        <v/>
      </c>
      <c r="N24" s="43">
        <f>IF(N19&gt;0,INDEX(Pricing!$AA$10:$AA$13,N19),0)</f>
        <v/>
      </c>
      <c r="O24" s="43">
        <f>IF(O19&gt;0,INDEX(Pricing!$AA$10:$AA$13,O19),0)</f>
        <v/>
      </c>
      <c r="P24" s="43">
        <f>IF(P19&gt;0,INDEX(Pricing!$AA$10:$AA$13,P19),0)</f>
        <v/>
      </c>
    </row>
    <row r="25">
      <c r="B25" s="25" t="inlineStr">
        <is>
          <t>Premium SL</t>
        </is>
      </c>
      <c r="C25" s="43">
        <f>IF(C20&gt;0,INDEX(Pricing!$O$14:$O$17,C20),0)</f>
        <v/>
      </c>
      <c r="D25" s="43">
        <f>IF(D20&gt;0,INDEX(Pricing!$O$14:$O$17,D20),0)</f>
        <v/>
      </c>
      <c r="E25" s="43">
        <f>IF(E20&gt;0,INDEX(Pricing!$O$14:$O$17,E20),0)</f>
        <v/>
      </c>
      <c r="F25" s="43">
        <f>IF(F20&gt;0,INDEX(Pricing!$O$14:$O$17,F20),0)</f>
        <v/>
      </c>
      <c r="G25" s="43">
        <f>IF(G20&gt;0,INDEX(Pricing!$O$14:$O$17,G20),0)</f>
        <v/>
      </c>
      <c r="H25" s="43">
        <f>IF(H20&gt;0,INDEX(Pricing!$O$14:$O$17,H20),0)</f>
        <v/>
      </c>
      <c r="I25" s="43">
        <f>IF(I20&gt;0,INDEX(Pricing!$O$14:$O$17,I20),0)</f>
        <v/>
      </c>
      <c r="J25" s="43">
        <f>IF(J20&gt;0,INDEX(Pricing!$O$14:$O$17,J20),0)</f>
        <v/>
      </c>
      <c r="K25" s="43">
        <f>IF(K20&gt;0,INDEX(Pricing!$O$14:$O$17,K20),0)</f>
        <v/>
      </c>
      <c r="L25" s="43">
        <f>IF(L20&gt;0,INDEX(Pricing!$O$14:$O$17,L20),0)</f>
        <v/>
      </c>
      <c r="M25" s="43">
        <f>IF(M20&gt;0,INDEX(Pricing!$O$14:$O$17,M20),0)</f>
        <v/>
      </c>
      <c r="N25" s="43">
        <f>IF(N20&gt;0,INDEX(Pricing!$O$14:$O$17,N20),0)</f>
        <v/>
      </c>
      <c r="O25" s="43">
        <f>IF(O20&gt;0,INDEX(Pricing!$O$14:$O$17,O20),0)</f>
        <v/>
      </c>
      <c r="P25" s="43">
        <f>IF(P20&gt;0,INDEX(Pricing!$O$14:$O$17,P20),0)</f>
        <v/>
      </c>
    </row>
    <row r="26">
      <c r="B26" s="25" t="inlineStr">
        <is>
          <t>Upfront premium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3">
        <f>SUM(O21:O25)</f>
        <v/>
      </c>
      <c r="P26" s="43">
        <f>SUM(P21:P25)</f>
        <v/>
      </c>
    </row>
    <row r="27">
      <c r="B27" s="25" t="inlineStr">
        <is>
          <t>E[reinstatement premium]</t>
        </is>
      </c>
      <c r="C27" s="43">
        <f>C21*SUMIFS(ss_mean_ru_l1,ss_struct_key,C$5)+C22*SUMIFS(ss_mean_ru_l2,ss_struct_key,C$5)+C23*SUMIFS(ss_mean_ru_ev1,ss_struct_key,C$5)+C24*SUMIFS(ss_mean_ru_ev2,ss_struct_key,C$5)</f>
        <v/>
      </c>
      <c r="D27" s="43">
        <f>D21*SUMIFS(ss_mean_ru_l1,ss_struct_key,D$5)+D22*SUMIFS(ss_mean_ru_l2,ss_struct_key,D$5)+D23*SUMIFS(ss_mean_ru_ev1,ss_struct_key,D$5)+D24*SUMIFS(ss_mean_ru_ev2,ss_struct_key,D$5)</f>
        <v/>
      </c>
      <c r="E27" s="43">
        <f>E21*SUMIFS(ss_mean_ru_l1,ss_struct_key,E$5)+E22*SUMIFS(ss_mean_ru_l2,ss_struct_key,E$5)+E23*SUMIFS(ss_mean_ru_ev1,ss_struct_key,E$5)+E24*SUMIFS(ss_mean_ru_ev2,ss_struct_key,E$5)</f>
        <v/>
      </c>
      <c r="F27" s="43">
        <f>F21*SUMIFS(ss_mean_ru_l1,ss_struct_key,F$5)+F22*SUMIFS(ss_mean_ru_l2,ss_struct_key,F$5)+F23*SUMIFS(ss_mean_ru_ev1,ss_struct_key,F$5)+F24*SUMIFS(ss_mean_ru_ev2,ss_struct_key,F$5)</f>
        <v/>
      </c>
      <c r="G27" s="43">
        <f>G21*SUMIFS(ss_mean_ru_l1,ss_struct_key,G$5)+G22*SUMIFS(ss_mean_ru_l2,ss_struct_key,G$5)+G23*SUMIFS(ss_mean_ru_ev1,ss_struct_key,G$5)+G24*SUMIFS(ss_mean_ru_ev2,ss_struct_key,G$5)</f>
        <v/>
      </c>
      <c r="H27" s="43">
        <f>H21*SUMIFS(ss_mean_ru_l1,ss_struct_key,H$5)+H22*SUMIFS(ss_mean_ru_l2,ss_struct_key,H$5)+H23*SUMIFS(ss_mean_ru_ev1,ss_struct_key,H$5)+H24*SUMIFS(ss_mean_ru_ev2,ss_struct_key,H$5)</f>
        <v/>
      </c>
      <c r="I27" s="43">
        <f>I21*SUMIFS(ss_mean_ru_l1,ss_struct_key,I$5)+I22*SUMIFS(ss_mean_ru_l2,ss_struct_key,I$5)+I23*SUMIFS(ss_mean_ru_ev1,ss_struct_key,I$5)+I24*SUMIFS(ss_mean_ru_ev2,ss_struct_key,I$5)</f>
        <v/>
      </c>
      <c r="J27" s="43">
        <f>J21*SUMIFS(ss_mean_ru_l1,ss_struct_key,J$5)+J22*SUMIFS(ss_mean_ru_l2,ss_struct_key,J$5)+J23*SUMIFS(ss_mean_ru_ev1,ss_struct_key,J$5)+J24*SUMIFS(ss_mean_ru_ev2,ss_struct_key,J$5)</f>
        <v/>
      </c>
      <c r="K27" s="43">
        <f>K21*SUMIFS(ss_mean_ru_l1,ss_struct_key,K$5)+K22*SUMIFS(ss_mean_ru_l2,ss_struct_key,K$5)+K23*SUMIFS(ss_mean_ru_ev1,ss_struct_key,K$5)+K24*SUMIFS(ss_mean_ru_ev2,ss_struct_key,K$5)</f>
        <v/>
      </c>
      <c r="L27" s="43">
        <f>L21*SUMIFS(ss_mean_ru_l1,ss_struct_key,L$5)+L22*SUMIFS(ss_mean_ru_l2,ss_struct_key,L$5)+L23*SUMIFS(ss_mean_ru_ev1,ss_struct_key,L$5)+L24*SUMIFS(ss_mean_ru_ev2,ss_struct_key,L$5)</f>
        <v/>
      </c>
      <c r="M27" s="43">
        <f>M21*SUMIFS(ss_mean_ru_l1,ss_struct_key,M$5)+M22*SUMIFS(ss_mean_ru_l2,ss_struct_key,M$5)+M23*SUMIFS(ss_mean_ru_ev1,ss_struct_key,M$5)+M24*SUMIFS(ss_mean_ru_ev2,ss_struct_key,M$5)</f>
        <v/>
      </c>
      <c r="N27" s="43">
        <f>N21*SUMIFS(ss_mean_ru_l1,ss_struct_key,N$5)+N22*SUMIFS(ss_mean_ru_l2,ss_struct_key,N$5)+N23*SUMIFS(ss_mean_ru_ev1,ss_struct_key,N$5)+N24*SUMIFS(ss_mean_ru_ev2,ss_struct_key,N$5)</f>
        <v/>
      </c>
      <c r="O27" s="43">
        <f>O21*SUMIFS(ss_mean_ru_l1,ss_struct_key,O$5)+O22*SUMIFS(ss_mean_ru_l2,ss_struct_key,O$5)+O23*SUMIFS(ss_mean_ru_ev1,ss_struct_key,O$5)+O24*SUMIFS(ss_mean_ru_ev2,ss_struct_key,O$5)</f>
        <v/>
      </c>
      <c r="P27" s="43">
        <f>P21*SUMIFS(ss_mean_ru_l1,ss_struct_key,P$5)+P22*SUMIFS(ss_mean_ru_l2,ss_struct_key,P$5)+P23*SUMIFS(ss_mean_ru_ev1,ss_struct_key,P$5)+P24*SUMIFS(ss_mean_ru_ev2,ss_struct_key,P$5)</f>
        <v/>
      </c>
    </row>
    <row r="28">
      <c r="B28" s="25" t="inlineStr">
        <is>
          <t>Mean net claims</t>
        </is>
      </c>
      <c r="C28" s="43">
        <f>SUMIFS(ss_mean_net,ss_struct_key,C$5)</f>
        <v/>
      </c>
      <c r="D28" s="43">
        <f>SUMIFS(ss_mean_net,ss_struct_key,D$5)</f>
        <v/>
      </c>
      <c r="E28" s="43">
        <f>SUMIFS(ss_mean_net,ss_struct_key,E$5)</f>
        <v/>
      </c>
      <c r="F28" s="43">
        <f>SUMIFS(ss_mean_net,ss_struct_key,F$5)</f>
        <v/>
      </c>
      <c r="G28" s="43">
        <f>SUMIFS(ss_mean_net,ss_struct_key,G$5)</f>
        <v/>
      </c>
      <c r="H28" s="43">
        <f>SUMIFS(ss_mean_net,ss_struct_key,H$5)</f>
        <v/>
      </c>
      <c r="I28" s="43">
        <f>SUMIFS(ss_mean_net,ss_struct_key,I$5)</f>
        <v/>
      </c>
      <c r="J28" s="43">
        <f>SUMIFS(ss_mean_net,ss_struct_key,J$5)</f>
        <v/>
      </c>
      <c r="K28" s="43">
        <f>SUMIFS(ss_mean_net,ss_struct_key,K$5)</f>
        <v/>
      </c>
      <c r="L28" s="43">
        <f>SUMIFS(ss_mean_net,ss_struct_key,L$5)</f>
        <v/>
      </c>
      <c r="M28" s="43">
        <f>SUMIFS(ss_mean_net,ss_struct_key,M$5)</f>
        <v/>
      </c>
      <c r="N28" s="43">
        <f>SUMIFS(ss_mean_net,ss_struct_key,N$5)</f>
        <v/>
      </c>
      <c r="O28" s="43">
        <f>SUMIFS(ss_mean_net,ss_struct_key,O$5)</f>
        <v/>
      </c>
      <c r="P28" s="43">
        <f>SUMIFS(ss_mean_net,ss_struct_key,P$5)</f>
        <v/>
      </c>
    </row>
    <row r="30">
      <c r="A30" s="25">
        <f>ROUND(1000*(1-1/Inputs!$E$13),0)</f>
        <v/>
      </c>
      <c r="B30" s="25">
        <f>"q (per mille), 1 in "&amp;TEXT(Inputs!$E$13,"0")</f>
        <v/>
      </c>
    </row>
    <row r="31">
      <c r="A31" s="25">
        <f>ROUND(1000*(1-1/Inputs!$E$14),0)</f>
        <v/>
      </c>
      <c r="B31" s="25">
        <f>"q (per mille), 1 in "&amp;TEXT(Inputs!$E$14,"0")</f>
        <v/>
      </c>
    </row>
    <row r="32">
      <c r="A32" s="25">
        <f>ROUND(1000*(1-1/Inputs!$E$15),0)</f>
        <v/>
      </c>
      <c r="B32" s="25">
        <f>"q (per mille), 1 in "&amp;TEXT(Inputs!$E$15,"0")</f>
        <v/>
      </c>
    </row>
    <row r="33">
      <c r="B33" s="25">
        <f>"Net claims at 1 in "&amp;TEXT(Inputs!$E$13,"0")</f>
        <v/>
      </c>
      <c r="C33" s="43">
        <f>SUMIFS(sq_net_claims,sq_struct_key,C$5,sq_qm,$A$30)</f>
        <v/>
      </c>
      <c r="D33" s="43">
        <f>SUMIFS(sq_net_claims,sq_struct_key,D$5,sq_qm,$A$30)</f>
        <v/>
      </c>
      <c r="E33" s="43">
        <f>SUMIFS(sq_net_claims,sq_struct_key,E$5,sq_qm,$A$30)</f>
        <v/>
      </c>
      <c r="F33" s="43">
        <f>SUMIFS(sq_net_claims,sq_struct_key,F$5,sq_qm,$A$30)</f>
        <v/>
      </c>
      <c r="G33" s="43">
        <f>SUMIFS(sq_net_claims,sq_struct_key,G$5,sq_qm,$A$30)</f>
        <v/>
      </c>
      <c r="H33" s="43">
        <f>SUMIFS(sq_net_claims,sq_struct_key,H$5,sq_qm,$A$30)</f>
        <v/>
      </c>
      <c r="I33" s="43">
        <f>SUMIFS(sq_net_claims,sq_struct_key,I$5,sq_qm,$A$30)</f>
        <v/>
      </c>
      <c r="J33" s="43">
        <f>SUMIFS(sq_net_claims,sq_struct_key,J$5,sq_qm,$A$30)</f>
        <v/>
      </c>
      <c r="K33" s="43">
        <f>SUMIFS(sq_net_claims,sq_struct_key,K$5,sq_qm,$A$30)</f>
        <v/>
      </c>
      <c r="L33" s="43">
        <f>SUMIFS(sq_net_claims,sq_struct_key,L$5,sq_qm,$A$30)</f>
        <v/>
      </c>
      <c r="M33" s="43">
        <f>SUMIFS(sq_net_claims,sq_struct_key,M$5,sq_qm,$A$30)</f>
        <v/>
      </c>
      <c r="N33" s="43">
        <f>SUMIFS(sq_net_claims,sq_struct_key,N$5,sq_qm,$A$30)</f>
        <v/>
      </c>
      <c r="O33" s="43">
        <f>SUMIFS(sq_net_claims,sq_struct_key,O$5,sq_qm,$A$30)</f>
        <v/>
      </c>
      <c r="P33" s="43">
        <f>SUMIFS(sq_net_claims,sq_struct_key,P$5,sq_qm,$A$30)</f>
        <v/>
      </c>
    </row>
    <row r="34">
      <c r="B34" s="25">
        <f>"Net claims at 1 in "&amp;TEXT(Inputs!$E$14,"0")</f>
        <v/>
      </c>
      <c r="C34" s="43">
        <f>SUMIFS(sq_net_claims,sq_struct_key,C$5,sq_qm,$A$31)</f>
        <v/>
      </c>
      <c r="D34" s="43">
        <f>SUMIFS(sq_net_claims,sq_struct_key,D$5,sq_qm,$A$31)</f>
        <v/>
      </c>
      <c r="E34" s="43">
        <f>SUMIFS(sq_net_claims,sq_struct_key,E$5,sq_qm,$A$31)</f>
        <v/>
      </c>
      <c r="F34" s="43">
        <f>SUMIFS(sq_net_claims,sq_struct_key,F$5,sq_qm,$A$31)</f>
        <v/>
      </c>
      <c r="G34" s="43">
        <f>SUMIFS(sq_net_claims,sq_struct_key,G$5,sq_qm,$A$31)</f>
        <v/>
      </c>
      <c r="H34" s="43">
        <f>SUMIFS(sq_net_claims,sq_struct_key,H$5,sq_qm,$A$31)</f>
        <v/>
      </c>
      <c r="I34" s="43">
        <f>SUMIFS(sq_net_claims,sq_struct_key,I$5,sq_qm,$A$31)</f>
        <v/>
      </c>
      <c r="J34" s="43">
        <f>SUMIFS(sq_net_claims,sq_struct_key,J$5,sq_qm,$A$31)</f>
        <v/>
      </c>
      <c r="K34" s="43">
        <f>SUMIFS(sq_net_claims,sq_struct_key,K$5,sq_qm,$A$31)</f>
        <v/>
      </c>
      <c r="L34" s="43">
        <f>SUMIFS(sq_net_claims,sq_struct_key,L$5,sq_qm,$A$31)</f>
        <v/>
      </c>
      <c r="M34" s="43">
        <f>SUMIFS(sq_net_claims,sq_struct_key,M$5,sq_qm,$A$31)</f>
        <v/>
      </c>
      <c r="N34" s="43">
        <f>SUMIFS(sq_net_claims,sq_struct_key,N$5,sq_qm,$A$31)</f>
        <v/>
      </c>
      <c r="O34" s="43">
        <f>SUMIFS(sq_net_claims,sq_struct_key,O$5,sq_qm,$A$31)</f>
        <v/>
      </c>
      <c r="P34" s="43">
        <f>SUMIFS(sq_net_claims,sq_struct_key,P$5,sq_qm,$A$31)</f>
        <v/>
      </c>
    </row>
    <row r="35">
      <c r="B35" s="25">
        <f>"Net claims at 1 in "&amp;TEXT(Inputs!$E$15,"0")</f>
        <v/>
      </c>
      <c r="C35" s="43">
        <f>SUMIFS(sq_net_claims,sq_struct_key,C$5,sq_qm,$A$32)</f>
        <v/>
      </c>
      <c r="D35" s="43">
        <f>SUMIFS(sq_net_claims,sq_struct_key,D$5,sq_qm,$A$32)</f>
        <v/>
      </c>
      <c r="E35" s="43">
        <f>SUMIFS(sq_net_claims,sq_struct_key,E$5,sq_qm,$A$32)</f>
        <v/>
      </c>
      <c r="F35" s="43">
        <f>SUMIFS(sq_net_claims,sq_struct_key,F$5,sq_qm,$A$32)</f>
        <v/>
      </c>
      <c r="G35" s="43">
        <f>SUMIFS(sq_net_claims,sq_struct_key,G$5,sq_qm,$A$32)</f>
        <v/>
      </c>
      <c r="H35" s="43">
        <f>SUMIFS(sq_net_claims,sq_struct_key,H$5,sq_qm,$A$32)</f>
        <v/>
      </c>
      <c r="I35" s="43">
        <f>SUMIFS(sq_net_claims,sq_struct_key,I$5,sq_qm,$A$32)</f>
        <v/>
      </c>
      <c r="J35" s="43">
        <f>SUMIFS(sq_net_claims,sq_struct_key,J$5,sq_qm,$A$32)</f>
        <v/>
      </c>
      <c r="K35" s="43">
        <f>SUMIFS(sq_net_claims,sq_struct_key,K$5,sq_qm,$A$32)</f>
        <v/>
      </c>
      <c r="L35" s="43">
        <f>SUMIFS(sq_net_claims,sq_struct_key,L$5,sq_qm,$A$32)</f>
        <v/>
      </c>
      <c r="M35" s="43">
        <f>SUMIFS(sq_net_claims,sq_struct_key,M$5,sq_qm,$A$32)</f>
        <v/>
      </c>
      <c r="N35" s="43">
        <f>SUMIFS(sq_net_claims,sq_struct_key,N$5,sq_qm,$A$32)</f>
        <v/>
      </c>
      <c r="O35" s="43">
        <f>SUMIFS(sq_net_claims,sq_struct_key,O$5,sq_qm,$A$32)</f>
        <v/>
      </c>
      <c r="P35" s="43">
        <f>SUMIFS(sq_net_claims,sq_struct_key,P$5,sq_qm,$A$32)</f>
        <v/>
      </c>
    </row>
    <row r="36">
      <c r="B36" s="25">
        <f>"Reinstatement premium at 1 in "&amp;TEXT(Inputs!$E$13,"0")</f>
        <v/>
      </c>
      <c r="C36" s="43">
        <f>C21*SUMIFS(sq_ru_l1_at_q,sq_struct_key,C$5,sq_qm,$A$30)+C22*SUMIFS(sq_ru_l2_at_q,sq_struct_key,C$5,sq_qm,$A$30)+C23*SUMIFS(sq_ru_ev1_at_q,sq_struct_key,C$5,sq_qm,$A$30)+C24*SUMIFS(sq_ru_ev2_at_q,sq_struct_key,C$5,sq_qm,$A$30)</f>
        <v/>
      </c>
      <c r="D36" s="43">
        <f>D21*SUMIFS(sq_ru_l1_at_q,sq_struct_key,D$5,sq_qm,$A$30)+D22*SUMIFS(sq_ru_l2_at_q,sq_struct_key,D$5,sq_qm,$A$30)+D23*SUMIFS(sq_ru_ev1_at_q,sq_struct_key,D$5,sq_qm,$A$30)+D24*SUMIFS(sq_ru_ev2_at_q,sq_struct_key,D$5,sq_qm,$A$30)</f>
        <v/>
      </c>
      <c r="E36" s="43">
        <f>E21*SUMIFS(sq_ru_l1_at_q,sq_struct_key,E$5,sq_qm,$A$30)+E22*SUMIFS(sq_ru_l2_at_q,sq_struct_key,E$5,sq_qm,$A$30)+E23*SUMIFS(sq_ru_ev1_at_q,sq_struct_key,E$5,sq_qm,$A$30)+E24*SUMIFS(sq_ru_ev2_at_q,sq_struct_key,E$5,sq_qm,$A$30)</f>
        <v/>
      </c>
      <c r="F36" s="43">
        <f>F21*SUMIFS(sq_ru_l1_at_q,sq_struct_key,F$5,sq_qm,$A$30)+F22*SUMIFS(sq_ru_l2_at_q,sq_struct_key,F$5,sq_qm,$A$30)+F23*SUMIFS(sq_ru_ev1_at_q,sq_struct_key,F$5,sq_qm,$A$30)+F24*SUMIFS(sq_ru_ev2_at_q,sq_struct_key,F$5,sq_qm,$A$30)</f>
        <v/>
      </c>
      <c r="G36" s="43">
        <f>G21*SUMIFS(sq_ru_l1_at_q,sq_struct_key,G$5,sq_qm,$A$30)+G22*SUMIFS(sq_ru_l2_at_q,sq_struct_key,G$5,sq_qm,$A$30)+G23*SUMIFS(sq_ru_ev1_at_q,sq_struct_key,G$5,sq_qm,$A$30)+G24*SUMIFS(sq_ru_ev2_at_q,sq_struct_key,G$5,sq_qm,$A$30)</f>
        <v/>
      </c>
      <c r="H36" s="43">
        <f>H21*SUMIFS(sq_ru_l1_at_q,sq_struct_key,H$5,sq_qm,$A$30)+H22*SUMIFS(sq_ru_l2_at_q,sq_struct_key,H$5,sq_qm,$A$30)+H23*SUMIFS(sq_ru_ev1_at_q,sq_struct_key,H$5,sq_qm,$A$30)+H24*SUMIFS(sq_ru_ev2_at_q,sq_struct_key,H$5,sq_qm,$A$30)</f>
        <v/>
      </c>
      <c r="I36" s="43">
        <f>I21*SUMIFS(sq_ru_l1_at_q,sq_struct_key,I$5,sq_qm,$A$30)+I22*SUMIFS(sq_ru_l2_at_q,sq_struct_key,I$5,sq_qm,$A$30)+I23*SUMIFS(sq_ru_ev1_at_q,sq_struct_key,I$5,sq_qm,$A$30)+I24*SUMIFS(sq_ru_ev2_at_q,sq_struct_key,I$5,sq_qm,$A$30)</f>
        <v/>
      </c>
      <c r="J36" s="43">
        <f>J21*SUMIFS(sq_ru_l1_at_q,sq_struct_key,J$5,sq_qm,$A$30)+J22*SUMIFS(sq_ru_l2_at_q,sq_struct_key,J$5,sq_qm,$A$30)+J23*SUMIFS(sq_ru_ev1_at_q,sq_struct_key,J$5,sq_qm,$A$30)+J24*SUMIFS(sq_ru_ev2_at_q,sq_struct_key,J$5,sq_qm,$A$30)</f>
        <v/>
      </c>
      <c r="K36" s="43">
        <f>K21*SUMIFS(sq_ru_l1_at_q,sq_struct_key,K$5,sq_qm,$A$30)+K22*SUMIFS(sq_ru_l2_at_q,sq_struct_key,K$5,sq_qm,$A$30)+K23*SUMIFS(sq_ru_ev1_at_q,sq_struct_key,K$5,sq_qm,$A$30)+K24*SUMIFS(sq_ru_ev2_at_q,sq_struct_key,K$5,sq_qm,$A$30)</f>
        <v/>
      </c>
      <c r="L36" s="43">
        <f>L21*SUMIFS(sq_ru_l1_at_q,sq_struct_key,L$5,sq_qm,$A$30)+L22*SUMIFS(sq_ru_l2_at_q,sq_struct_key,L$5,sq_qm,$A$30)+L23*SUMIFS(sq_ru_ev1_at_q,sq_struct_key,L$5,sq_qm,$A$30)+L24*SUMIFS(sq_ru_ev2_at_q,sq_struct_key,L$5,sq_qm,$A$30)</f>
        <v/>
      </c>
      <c r="M36" s="43">
        <f>M21*SUMIFS(sq_ru_l1_at_q,sq_struct_key,M$5,sq_qm,$A$30)+M22*SUMIFS(sq_ru_l2_at_q,sq_struct_key,M$5,sq_qm,$A$30)+M23*SUMIFS(sq_ru_ev1_at_q,sq_struct_key,M$5,sq_qm,$A$30)+M24*SUMIFS(sq_ru_ev2_at_q,sq_struct_key,M$5,sq_qm,$A$30)</f>
        <v/>
      </c>
      <c r="N36" s="43">
        <f>N21*SUMIFS(sq_ru_l1_at_q,sq_struct_key,N$5,sq_qm,$A$30)+N22*SUMIFS(sq_ru_l2_at_q,sq_struct_key,N$5,sq_qm,$A$30)+N23*SUMIFS(sq_ru_ev1_at_q,sq_struct_key,N$5,sq_qm,$A$30)+N24*SUMIFS(sq_ru_ev2_at_q,sq_struct_key,N$5,sq_qm,$A$30)</f>
        <v/>
      </c>
      <c r="O36" s="43">
        <f>O21*SUMIFS(sq_ru_l1_at_q,sq_struct_key,O$5,sq_qm,$A$30)+O22*SUMIFS(sq_ru_l2_at_q,sq_struct_key,O$5,sq_qm,$A$30)+O23*SUMIFS(sq_ru_ev1_at_q,sq_struct_key,O$5,sq_qm,$A$30)+O24*SUMIFS(sq_ru_ev2_at_q,sq_struct_key,O$5,sq_qm,$A$30)</f>
        <v/>
      </c>
      <c r="P36" s="43">
        <f>P21*SUMIFS(sq_ru_l1_at_q,sq_struct_key,P$5,sq_qm,$A$30)+P22*SUMIFS(sq_ru_l2_at_q,sq_struct_key,P$5,sq_qm,$A$30)+P23*SUMIFS(sq_ru_ev1_at_q,sq_struct_key,P$5,sq_qm,$A$30)+P24*SUMIFS(sq_ru_ev2_at_q,sq_struct_key,P$5,sq_qm,$A$30)</f>
        <v/>
      </c>
    </row>
    <row r="37">
      <c r="B37" s="25">
        <f>"Reinstatement premium at 1 in "&amp;TEXT(Inputs!$E$14,"0")</f>
        <v/>
      </c>
      <c r="C37" s="43">
        <f>C21*SUMIFS(sq_ru_l1_at_q,sq_struct_key,C$5,sq_qm,$A$31)+C22*SUMIFS(sq_ru_l2_at_q,sq_struct_key,C$5,sq_qm,$A$31)+C23*SUMIFS(sq_ru_ev1_at_q,sq_struct_key,C$5,sq_qm,$A$31)+C24*SUMIFS(sq_ru_ev2_at_q,sq_struct_key,C$5,sq_qm,$A$31)</f>
        <v/>
      </c>
      <c r="D37" s="43">
        <f>D21*SUMIFS(sq_ru_l1_at_q,sq_struct_key,D$5,sq_qm,$A$31)+D22*SUMIFS(sq_ru_l2_at_q,sq_struct_key,D$5,sq_qm,$A$31)+D23*SUMIFS(sq_ru_ev1_at_q,sq_struct_key,D$5,sq_qm,$A$31)+D24*SUMIFS(sq_ru_ev2_at_q,sq_struct_key,D$5,sq_qm,$A$31)</f>
        <v/>
      </c>
      <c r="E37" s="43">
        <f>E21*SUMIFS(sq_ru_l1_at_q,sq_struct_key,E$5,sq_qm,$A$31)+E22*SUMIFS(sq_ru_l2_at_q,sq_struct_key,E$5,sq_qm,$A$31)+E23*SUMIFS(sq_ru_ev1_at_q,sq_struct_key,E$5,sq_qm,$A$31)+E24*SUMIFS(sq_ru_ev2_at_q,sq_struct_key,E$5,sq_qm,$A$31)</f>
        <v/>
      </c>
      <c r="F37" s="43">
        <f>F21*SUMIFS(sq_ru_l1_at_q,sq_struct_key,F$5,sq_qm,$A$31)+F22*SUMIFS(sq_ru_l2_at_q,sq_struct_key,F$5,sq_qm,$A$31)+F23*SUMIFS(sq_ru_ev1_at_q,sq_struct_key,F$5,sq_qm,$A$31)+F24*SUMIFS(sq_ru_ev2_at_q,sq_struct_key,F$5,sq_qm,$A$31)</f>
        <v/>
      </c>
      <c r="G37" s="43">
        <f>G21*SUMIFS(sq_ru_l1_at_q,sq_struct_key,G$5,sq_qm,$A$31)+G22*SUMIFS(sq_ru_l2_at_q,sq_struct_key,G$5,sq_qm,$A$31)+G23*SUMIFS(sq_ru_ev1_at_q,sq_struct_key,G$5,sq_qm,$A$31)+G24*SUMIFS(sq_ru_ev2_at_q,sq_struct_key,G$5,sq_qm,$A$31)</f>
        <v/>
      </c>
      <c r="H37" s="43">
        <f>H21*SUMIFS(sq_ru_l1_at_q,sq_struct_key,H$5,sq_qm,$A$31)+H22*SUMIFS(sq_ru_l2_at_q,sq_struct_key,H$5,sq_qm,$A$31)+H23*SUMIFS(sq_ru_ev1_at_q,sq_struct_key,H$5,sq_qm,$A$31)+H24*SUMIFS(sq_ru_ev2_at_q,sq_struct_key,H$5,sq_qm,$A$31)</f>
        <v/>
      </c>
      <c r="I37" s="43">
        <f>I21*SUMIFS(sq_ru_l1_at_q,sq_struct_key,I$5,sq_qm,$A$31)+I22*SUMIFS(sq_ru_l2_at_q,sq_struct_key,I$5,sq_qm,$A$31)+I23*SUMIFS(sq_ru_ev1_at_q,sq_struct_key,I$5,sq_qm,$A$31)+I24*SUMIFS(sq_ru_ev2_at_q,sq_struct_key,I$5,sq_qm,$A$31)</f>
        <v/>
      </c>
      <c r="J37" s="43">
        <f>J21*SUMIFS(sq_ru_l1_at_q,sq_struct_key,J$5,sq_qm,$A$31)+J22*SUMIFS(sq_ru_l2_at_q,sq_struct_key,J$5,sq_qm,$A$31)+J23*SUMIFS(sq_ru_ev1_at_q,sq_struct_key,J$5,sq_qm,$A$31)+J24*SUMIFS(sq_ru_ev2_at_q,sq_struct_key,J$5,sq_qm,$A$31)</f>
        <v/>
      </c>
      <c r="K37" s="43">
        <f>K21*SUMIFS(sq_ru_l1_at_q,sq_struct_key,K$5,sq_qm,$A$31)+K22*SUMIFS(sq_ru_l2_at_q,sq_struct_key,K$5,sq_qm,$A$31)+K23*SUMIFS(sq_ru_ev1_at_q,sq_struct_key,K$5,sq_qm,$A$31)+K24*SUMIFS(sq_ru_ev2_at_q,sq_struct_key,K$5,sq_qm,$A$31)</f>
        <v/>
      </c>
      <c r="L37" s="43">
        <f>L21*SUMIFS(sq_ru_l1_at_q,sq_struct_key,L$5,sq_qm,$A$31)+L22*SUMIFS(sq_ru_l2_at_q,sq_struct_key,L$5,sq_qm,$A$31)+L23*SUMIFS(sq_ru_ev1_at_q,sq_struct_key,L$5,sq_qm,$A$31)+L24*SUMIFS(sq_ru_ev2_at_q,sq_struct_key,L$5,sq_qm,$A$31)</f>
        <v/>
      </c>
      <c r="M37" s="43">
        <f>M21*SUMIFS(sq_ru_l1_at_q,sq_struct_key,M$5,sq_qm,$A$31)+M22*SUMIFS(sq_ru_l2_at_q,sq_struct_key,M$5,sq_qm,$A$31)+M23*SUMIFS(sq_ru_ev1_at_q,sq_struct_key,M$5,sq_qm,$A$31)+M24*SUMIFS(sq_ru_ev2_at_q,sq_struct_key,M$5,sq_qm,$A$31)</f>
        <v/>
      </c>
      <c r="N37" s="43">
        <f>N21*SUMIFS(sq_ru_l1_at_q,sq_struct_key,N$5,sq_qm,$A$31)+N22*SUMIFS(sq_ru_l2_at_q,sq_struct_key,N$5,sq_qm,$A$31)+N23*SUMIFS(sq_ru_ev1_at_q,sq_struct_key,N$5,sq_qm,$A$31)+N24*SUMIFS(sq_ru_ev2_at_q,sq_struct_key,N$5,sq_qm,$A$31)</f>
        <v/>
      </c>
      <c r="O37" s="43">
        <f>O21*SUMIFS(sq_ru_l1_at_q,sq_struct_key,O$5,sq_qm,$A$31)+O22*SUMIFS(sq_ru_l2_at_q,sq_struct_key,O$5,sq_qm,$A$31)+O23*SUMIFS(sq_ru_ev1_at_q,sq_struct_key,O$5,sq_qm,$A$31)+O24*SUMIFS(sq_ru_ev2_at_q,sq_struct_key,O$5,sq_qm,$A$31)</f>
        <v/>
      </c>
      <c r="P37" s="43">
        <f>P21*SUMIFS(sq_ru_l1_at_q,sq_struct_key,P$5,sq_qm,$A$31)+P22*SUMIFS(sq_ru_l2_at_q,sq_struct_key,P$5,sq_qm,$A$31)+P23*SUMIFS(sq_ru_ev1_at_q,sq_struct_key,P$5,sq_qm,$A$31)+P24*SUMIFS(sq_ru_ev2_at_q,sq_struct_key,P$5,sq_qm,$A$31)</f>
        <v/>
      </c>
    </row>
    <row r="38">
      <c r="B38" s="25">
        <f>"Reinstatement premium at 1 in "&amp;TEXT(Inputs!$E$15,"0")</f>
        <v/>
      </c>
      <c r="C38" s="43">
        <f>C21*SUMIFS(sq_ru_l1_at_q,sq_struct_key,C$5,sq_qm,$A$32)+C22*SUMIFS(sq_ru_l2_at_q,sq_struct_key,C$5,sq_qm,$A$32)+C23*SUMIFS(sq_ru_ev1_at_q,sq_struct_key,C$5,sq_qm,$A$32)+C24*SUMIFS(sq_ru_ev2_at_q,sq_struct_key,C$5,sq_qm,$A$32)</f>
        <v/>
      </c>
      <c r="D38" s="43">
        <f>D21*SUMIFS(sq_ru_l1_at_q,sq_struct_key,D$5,sq_qm,$A$32)+D22*SUMIFS(sq_ru_l2_at_q,sq_struct_key,D$5,sq_qm,$A$32)+D23*SUMIFS(sq_ru_ev1_at_q,sq_struct_key,D$5,sq_qm,$A$32)+D24*SUMIFS(sq_ru_ev2_at_q,sq_struct_key,D$5,sq_qm,$A$32)</f>
        <v/>
      </c>
      <c r="E38" s="43">
        <f>E21*SUMIFS(sq_ru_l1_at_q,sq_struct_key,E$5,sq_qm,$A$32)+E22*SUMIFS(sq_ru_l2_at_q,sq_struct_key,E$5,sq_qm,$A$32)+E23*SUMIFS(sq_ru_ev1_at_q,sq_struct_key,E$5,sq_qm,$A$32)+E24*SUMIFS(sq_ru_ev2_at_q,sq_struct_key,E$5,sq_qm,$A$32)</f>
        <v/>
      </c>
      <c r="F38" s="43">
        <f>F21*SUMIFS(sq_ru_l1_at_q,sq_struct_key,F$5,sq_qm,$A$32)+F22*SUMIFS(sq_ru_l2_at_q,sq_struct_key,F$5,sq_qm,$A$32)+F23*SUMIFS(sq_ru_ev1_at_q,sq_struct_key,F$5,sq_qm,$A$32)+F24*SUMIFS(sq_ru_ev2_at_q,sq_struct_key,F$5,sq_qm,$A$32)</f>
        <v/>
      </c>
      <c r="G38" s="43">
        <f>G21*SUMIFS(sq_ru_l1_at_q,sq_struct_key,G$5,sq_qm,$A$32)+G22*SUMIFS(sq_ru_l2_at_q,sq_struct_key,G$5,sq_qm,$A$32)+G23*SUMIFS(sq_ru_ev1_at_q,sq_struct_key,G$5,sq_qm,$A$32)+G24*SUMIFS(sq_ru_ev2_at_q,sq_struct_key,G$5,sq_qm,$A$32)</f>
        <v/>
      </c>
      <c r="H38" s="43">
        <f>H21*SUMIFS(sq_ru_l1_at_q,sq_struct_key,H$5,sq_qm,$A$32)+H22*SUMIFS(sq_ru_l2_at_q,sq_struct_key,H$5,sq_qm,$A$32)+H23*SUMIFS(sq_ru_ev1_at_q,sq_struct_key,H$5,sq_qm,$A$32)+H24*SUMIFS(sq_ru_ev2_at_q,sq_struct_key,H$5,sq_qm,$A$32)</f>
        <v/>
      </c>
      <c r="I38" s="43">
        <f>I21*SUMIFS(sq_ru_l1_at_q,sq_struct_key,I$5,sq_qm,$A$32)+I22*SUMIFS(sq_ru_l2_at_q,sq_struct_key,I$5,sq_qm,$A$32)+I23*SUMIFS(sq_ru_ev1_at_q,sq_struct_key,I$5,sq_qm,$A$32)+I24*SUMIFS(sq_ru_ev2_at_q,sq_struct_key,I$5,sq_qm,$A$32)</f>
        <v/>
      </c>
      <c r="J38" s="43">
        <f>J21*SUMIFS(sq_ru_l1_at_q,sq_struct_key,J$5,sq_qm,$A$32)+J22*SUMIFS(sq_ru_l2_at_q,sq_struct_key,J$5,sq_qm,$A$32)+J23*SUMIFS(sq_ru_ev1_at_q,sq_struct_key,J$5,sq_qm,$A$32)+J24*SUMIFS(sq_ru_ev2_at_q,sq_struct_key,J$5,sq_qm,$A$32)</f>
        <v/>
      </c>
      <c r="K38" s="43">
        <f>K21*SUMIFS(sq_ru_l1_at_q,sq_struct_key,K$5,sq_qm,$A$32)+K22*SUMIFS(sq_ru_l2_at_q,sq_struct_key,K$5,sq_qm,$A$32)+K23*SUMIFS(sq_ru_ev1_at_q,sq_struct_key,K$5,sq_qm,$A$32)+K24*SUMIFS(sq_ru_ev2_at_q,sq_struct_key,K$5,sq_qm,$A$32)</f>
        <v/>
      </c>
      <c r="L38" s="43">
        <f>L21*SUMIFS(sq_ru_l1_at_q,sq_struct_key,L$5,sq_qm,$A$32)+L22*SUMIFS(sq_ru_l2_at_q,sq_struct_key,L$5,sq_qm,$A$32)+L23*SUMIFS(sq_ru_ev1_at_q,sq_struct_key,L$5,sq_qm,$A$32)+L24*SUMIFS(sq_ru_ev2_at_q,sq_struct_key,L$5,sq_qm,$A$32)</f>
        <v/>
      </c>
      <c r="M38" s="43">
        <f>M21*SUMIFS(sq_ru_l1_at_q,sq_struct_key,M$5,sq_qm,$A$32)+M22*SUMIFS(sq_ru_l2_at_q,sq_struct_key,M$5,sq_qm,$A$32)+M23*SUMIFS(sq_ru_ev1_at_q,sq_struct_key,M$5,sq_qm,$A$32)+M24*SUMIFS(sq_ru_ev2_at_q,sq_struct_key,M$5,sq_qm,$A$32)</f>
        <v/>
      </c>
      <c r="N38" s="43">
        <f>N21*SUMIFS(sq_ru_l1_at_q,sq_struct_key,N$5,sq_qm,$A$32)+N22*SUMIFS(sq_ru_l2_at_q,sq_struct_key,N$5,sq_qm,$A$32)+N23*SUMIFS(sq_ru_ev1_at_q,sq_struct_key,N$5,sq_qm,$A$32)+N24*SUMIFS(sq_ru_ev2_at_q,sq_struct_key,N$5,sq_qm,$A$32)</f>
        <v/>
      </c>
      <c r="O38" s="43">
        <f>O21*SUMIFS(sq_ru_l1_at_q,sq_struct_key,O$5,sq_qm,$A$32)+O22*SUMIFS(sq_ru_l2_at_q,sq_struct_key,O$5,sq_qm,$A$32)+O23*SUMIFS(sq_ru_ev1_at_q,sq_struct_key,O$5,sq_qm,$A$32)+O24*SUMIFS(sq_ru_ev2_at_q,sq_struct_key,O$5,sq_qm,$A$32)</f>
        <v/>
      </c>
      <c r="P38" s="43">
        <f>P21*SUMIFS(sq_ru_l1_at_q,sq_struct_key,P$5,sq_qm,$A$32)+P22*SUMIFS(sq_ru_l2_at_q,sq_struct_key,P$5,sq_qm,$A$32)+P23*SUMIFS(sq_ru_ev1_at_q,sq_struct_key,P$5,sq_qm,$A$32)+P24*SUMIFS(sq_ru_ev2_at_q,sq_struct_key,P$5,sq_qm,$A$32)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Expiring structure: rate comparison and as-if experience</t>
        </is>
      </c>
    </row>
    <row r="2">
      <c r="A2" s="2" t="inlineStr">
        <is>
          <t>Expiring rate applied to the quote year, then trended by the matched option's leveraged trend (base trend if there is no match); indicated = upfront premium of the option with the same AP and limit.</t>
        </is>
      </c>
    </row>
    <row r="4" ht="42" customHeight="1">
      <c r="A4" s="5" t="inlineStr">
        <is>
          <t>Cover</t>
        </is>
      </c>
      <c r="B4" s="5" t="inlineStr">
        <is>
          <t>Layer</t>
        </is>
      </c>
      <c r="C4" s="5" t="inlineStr">
        <is>
          <t>AP</t>
        </is>
      </c>
      <c r="D4" s="5" t="inlineStr">
        <is>
          <t>Limit</t>
        </is>
      </c>
      <c r="E4" s="5" t="inlineStr">
        <is>
          <t>Rate basis</t>
        </is>
      </c>
      <c r="F4" s="5" t="inlineStr">
        <is>
          <t>Rate</t>
        </is>
      </c>
      <c r="G4" s="5" t="inlineStr">
        <is>
          <t>Matched option</t>
        </is>
      </c>
      <c r="H4" s="5" t="inlineStr">
        <is>
          <t>Leveraged trend</t>
        </is>
      </c>
      <c r="I4" s="5" t="inlineStr">
        <is>
          <t>Expiring premium (quote year)</t>
        </is>
      </c>
      <c r="J4" s="5" t="inlineStr">
        <is>
          <t>Expiring premium trended</t>
        </is>
      </c>
      <c r="K4" s="5" t="inlineStr">
        <is>
          <t>Indicated premium</t>
        </is>
      </c>
      <c r="L4" s="5" t="inlineStr">
        <is>
          <t>Change</t>
        </is>
      </c>
    </row>
    <row r="5">
      <c r="A5" s="6">
        <f>IFERROR(INDEX(xp_cover,1)&amp;"","")</f>
        <v/>
      </c>
      <c r="B5" s="44">
        <f>IFERROR(IF(INDEX(xp_layer,1)="","",INDEX(xp_layer,1)),"")</f>
        <v/>
      </c>
      <c r="C5" s="26">
        <f>IFERROR(IF(INDEX(xp_ap,1)="","",INDEX(xp_ap,1)),"")</f>
        <v/>
      </c>
      <c r="D5" s="26">
        <f>IFERROR(IF(INDEX(xp_limit,1)="","",INDEX(xp_limit,1)),"")</f>
        <v/>
      </c>
      <c r="E5" s="6">
        <f>IFERROR(INDEX(xp_rate_basis,1)&amp;"","")</f>
        <v/>
      </c>
      <c r="F5" s="45">
        <f>IFERROR(IF(INDEX(xp_rate,1)="","",INDEX(xp_rate,1)),"")</f>
        <v/>
      </c>
      <c r="G5" s="44">
        <f>IFERROR(IF(INDEX(xp_matched_option,1)="","",INDEX(xp_matched_option,1)),"")</f>
        <v/>
      </c>
      <c r="H5" s="28">
        <f>IFERROR(IF(INDEX(xp_lev_trend_used,1)="","",INDEX(xp_lev_trend_used,1)),"")</f>
        <v/>
      </c>
      <c r="I5" s="26">
        <f>IFERROR(IF(INDEX(xp_expiring_premium_q,1)="","",INDEX(xp_expiring_premium_q,1)),"")</f>
        <v/>
      </c>
      <c r="J5" s="26">
        <f>IFERROR(IF(INDEX(xp_expiring_premium_trended,1)="","",INDEX(xp_expiring_premium_trended,1)),"")</f>
        <v/>
      </c>
      <c r="K5" s="18">
        <f>IFERROR(IF(AND(A5="PP",G5&lt;&gt;""),INDEX(Pricing!$O$6:$O$9,G5),""),"")</f>
        <v/>
      </c>
      <c r="L5" s="28">
        <f>IFERROR(K5/J5-1,"")</f>
        <v/>
      </c>
    </row>
    <row r="6">
      <c r="A6" s="6">
        <f>IFERROR(INDEX(xp_cover,2)&amp;"","")</f>
        <v/>
      </c>
      <c r="B6" s="44">
        <f>IFERROR(IF(INDEX(xp_layer,2)="","",INDEX(xp_layer,2)),"")</f>
        <v/>
      </c>
      <c r="C6" s="26">
        <f>IFERROR(IF(INDEX(xp_ap,2)="","",INDEX(xp_ap,2)),"")</f>
        <v/>
      </c>
      <c r="D6" s="26">
        <f>IFERROR(IF(INDEX(xp_limit,2)="","",INDEX(xp_limit,2)),"")</f>
        <v/>
      </c>
      <c r="E6" s="6">
        <f>IFERROR(INDEX(xp_rate_basis,2)&amp;"","")</f>
        <v/>
      </c>
      <c r="F6" s="45">
        <f>IFERROR(IF(INDEX(xp_rate,2)="","",INDEX(xp_rate,2)),"")</f>
        <v/>
      </c>
      <c r="G6" s="44">
        <f>IFERROR(IF(INDEX(xp_matched_option,2)="","",INDEX(xp_matched_option,2)),"")</f>
        <v/>
      </c>
      <c r="H6" s="28">
        <f>IFERROR(IF(INDEX(xp_lev_trend_used,2)="","",INDEX(xp_lev_trend_used,2)),"")</f>
        <v/>
      </c>
      <c r="I6" s="26">
        <f>IFERROR(IF(INDEX(xp_expiring_premium_q,2)="","",INDEX(xp_expiring_premium_q,2)),"")</f>
        <v/>
      </c>
      <c r="J6" s="26">
        <f>IFERROR(IF(INDEX(xp_expiring_premium_trended,2)="","",INDEX(xp_expiring_premium_trended,2)),"")</f>
        <v/>
      </c>
      <c r="K6" s="18">
        <f>IFERROR(IF(AND(A6="PP",G6&lt;&gt;""),INDEX(Pricing!$O$6:$O$9,G6),""),"")</f>
        <v/>
      </c>
      <c r="L6" s="28">
        <f>IFERROR(K6/J6-1,"")</f>
        <v/>
      </c>
    </row>
    <row r="7">
      <c r="A7" s="6">
        <f>IFERROR(INDEX(xp_cover,3)&amp;"","")</f>
        <v/>
      </c>
      <c r="B7" s="44">
        <f>IFERROR(IF(INDEX(xp_layer,3)="","",INDEX(xp_layer,3)),"")</f>
        <v/>
      </c>
      <c r="C7" s="26">
        <f>IFERROR(IF(INDEX(xp_ap,3)="","",INDEX(xp_ap,3)),"")</f>
        <v/>
      </c>
      <c r="D7" s="26">
        <f>IFERROR(IF(INDEX(xp_limit,3)="","",INDEX(xp_limit,3)),"")</f>
        <v/>
      </c>
      <c r="E7" s="6">
        <f>IFERROR(INDEX(xp_rate_basis,3)&amp;"","")</f>
        <v/>
      </c>
      <c r="F7" s="45">
        <f>IFERROR(IF(INDEX(xp_rate,3)="","",INDEX(xp_rate,3)),"")</f>
        <v/>
      </c>
      <c r="G7" s="44">
        <f>IFERROR(IF(INDEX(xp_matched_option,3)="","",INDEX(xp_matched_option,3)),"")</f>
        <v/>
      </c>
      <c r="H7" s="28">
        <f>IFERROR(IF(INDEX(xp_lev_trend_used,3)="","",INDEX(xp_lev_trend_used,3)),"")</f>
        <v/>
      </c>
      <c r="I7" s="26">
        <f>IFERROR(IF(INDEX(xp_expiring_premium_q,3)="","",INDEX(xp_expiring_premium_q,3)),"")</f>
        <v/>
      </c>
      <c r="J7" s="26">
        <f>IFERROR(IF(INDEX(xp_expiring_premium_trended,3)="","",INDEX(xp_expiring_premium_trended,3)),"")</f>
        <v/>
      </c>
      <c r="K7" s="18">
        <f>IFERROR(IF(AND(A7="PP",G7&lt;&gt;""),INDEX(Pricing!$O$6:$O$9,G7),""),"")</f>
        <v/>
      </c>
      <c r="L7" s="28">
        <f>IFERROR(K7/J7-1,"")</f>
        <v/>
      </c>
    </row>
    <row r="8">
      <c r="A8" s="6">
        <f>IFERROR(INDEX(xp_cover,4)&amp;"","")</f>
        <v/>
      </c>
      <c r="B8" s="44">
        <f>IFERROR(IF(INDEX(xp_layer,4)="","",INDEX(xp_layer,4)),"")</f>
        <v/>
      </c>
      <c r="C8" s="26">
        <f>IFERROR(IF(INDEX(xp_ap,4)="","",INDEX(xp_ap,4)),"")</f>
        <v/>
      </c>
      <c r="D8" s="26">
        <f>IFERROR(IF(INDEX(xp_limit,4)="","",INDEX(xp_limit,4)),"")</f>
        <v/>
      </c>
      <c r="E8" s="6">
        <f>IFERROR(INDEX(xp_rate_basis,4)&amp;"","")</f>
        <v/>
      </c>
      <c r="F8" s="45">
        <f>IFERROR(IF(INDEX(xp_rate,4)="","",INDEX(xp_rate,4)),"")</f>
        <v/>
      </c>
      <c r="G8" s="44">
        <f>IFERROR(IF(INDEX(xp_matched_option,4)="","",INDEX(xp_matched_option,4)),"")</f>
        <v/>
      </c>
      <c r="H8" s="28">
        <f>IFERROR(IF(INDEX(xp_lev_trend_used,4)="","",INDEX(xp_lev_trend_used,4)),"")</f>
        <v/>
      </c>
      <c r="I8" s="26">
        <f>IFERROR(IF(INDEX(xp_expiring_premium_q,4)="","",INDEX(xp_expiring_premium_q,4)),"")</f>
        <v/>
      </c>
      <c r="J8" s="26">
        <f>IFERROR(IF(INDEX(xp_expiring_premium_trended,4)="","",INDEX(xp_expiring_premium_trended,4)),"")</f>
        <v/>
      </c>
      <c r="K8" s="18">
        <f>IFERROR(IF(AND(A8="PP",G8&lt;&gt;""),INDEX(Pricing!$O$6:$O$9,G8),""),"")</f>
        <v/>
      </c>
      <c r="L8" s="28">
        <f>IFERROR(K8/J8-1,"")</f>
        <v/>
      </c>
    </row>
    <row r="11">
      <c r="A11" s="9" t="inlineStr">
        <is>
          <t>As-if experience of the matched option: layer loss trended to the quote year against the premium at the expiring rate on that year's exposure, also at the quote-year level; actual (historical) recoveries against the same premium at the year's own level</t>
        </is>
      </c>
    </row>
    <row r="12" ht="42" customHeight="1">
      <c r="A12" s="5" t="inlineStr">
        <is>
          <t>Treaty year</t>
        </is>
      </c>
      <c r="B12" s="5" t="inlineStr">
        <is>
          <t>Matched option</t>
        </is>
      </c>
      <c r="C12" s="5" t="inlineStr">
        <is>
          <t>Exposure (life-years)</t>
        </is>
      </c>
      <c r="D12" s="5" t="inlineStr">
        <is>
          <t>As-if recoveries (quote-year level)</t>
        </is>
      </c>
      <c r="E12" s="5" t="inlineStr">
        <is>
          <t>As-if premium (quote-year level)</t>
        </is>
      </c>
      <c r="F12" s="5" t="inlineStr">
        <is>
          <t>As-if loss ratio</t>
        </is>
      </c>
      <c r="G12" s="5" t="inlineStr">
        <is>
          <t>Premium at the year's level</t>
        </is>
      </c>
      <c r="H12" s="5" t="inlineStr">
        <is>
          <t>Actual recoveries</t>
        </is>
      </c>
      <c r="I12" s="5" t="inlineStr">
        <is>
          <t>Actual loss ratio</t>
        </is>
      </c>
    </row>
    <row r="13">
      <c r="A13" s="44">
        <f>IFERROR(IF(INDEX(ai_ty,1)="","",INDEX(ai_ty,1)),"")</f>
        <v/>
      </c>
      <c r="B13" s="44">
        <f>IFERROR(IF(INDEX(ai_matched_option,1)="","",INDEX(ai_matched_option,1)),"")</f>
        <v/>
      </c>
      <c r="C13" s="32">
        <f>IFERROR(IF(INDEX(ai_exposure_ly_full,1)="","",INDEX(ai_exposure_ly_full,1)),"")</f>
        <v/>
      </c>
      <c r="D13" s="26">
        <f>IFERROR(IF(INDEX(ai_asif_recovery,1)="","",INDEX(ai_asif_recovery,1)),"")</f>
        <v/>
      </c>
      <c r="E13" s="26">
        <f>IFERROR(IF(INDEX(ai_asif_premium,1)="","",INDEX(ai_asif_premium,1)),"")</f>
        <v/>
      </c>
      <c r="F13" s="28">
        <f>IFERROR(D13/E13,"")</f>
        <v/>
      </c>
      <c r="G13" s="26">
        <f>IFERROR(IF(INDEX(ai_premium_year_level,1)="","",INDEX(ai_premium_year_level,1)),"")</f>
        <v/>
      </c>
      <c r="H13" s="26">
        <f>IFERROR(IF(INDEX(ai_actual_recovery,1)="","",INDEX(ai_actual_recovery,1)),"")</f>
        <v/>
      </c>
      <c r="I13" s="28">
        <f>IFERROR(H13/G13,"")</f>
        <v/>
      </c>
    </row>
    <row r="14">
      <c r="A14" s="44">
        <f>IFERROR(IF(INDEX(ai_ty,2)="","",INDEX(ai_ty,2)),"")</f>
        <v/>
      </c>
      <c r="B14" s="44">
        <f>IFERROR(IF(INDEX(ai_matched_option,2)="","",INDEX(ai_matched_option,2)),"")</f>
        <v/>
      </c>
      <c r="C14" s="32">
        <f>IFERROR(IF(INDEX(ai_exposure_ly_full,2)="","",INDEX(ai_exposure_ly_full,2)),"")</f>
        <v/>
      </c>
      <c r="D14" s="26">
        <f>IFERROR(IF(INDEX(ai_asif_recovery,2)="","",INDEX(ai_asif_recovery,2)),"")</f>
        <v/>
      </c>
      <c r="E14" s="26">
        <f>IFERROR(IF(INDEX(ai_asif_premium,2)="","",INDEX(ai_asif_premium,2)),"")</f>
        <v/>
      </c>
      <c r="F14" s="28">
        <f>IFERROR(D14/E14,"")</f>
        <v/>
      </c>
      <c r="G14" s="26">
        <f>IFERROR(IF(INDEX(ai_premium_year_level,2)="","",INDEX(ai_premium_year_level,2)),"")</f>
        <v/>
      </c>
      <c r="H14" s="26">
        <f>IFERROR(IF(INDEX(ai_actual_recovery,2)="","",INDEX(ai_actual_recovery,2)),"")</f>
        <v/>
      </c>
      <c r="I14" s="28">
        <f>IFERROR(H14/G14,"")</f>
        <v/>
      </c>
    </row>
    <row r="15">
      <c r="A15" s="44">
        <f>IFERROR(IF(INDEX(ai_ty,3)="","",INDEX(ai_ty,3)),"")</f>
        <v/>
      </c>
      <c r="B15" s="44">
        <f>IFERROR(IF(INDEX(ai_matched_option,3)="","",INDEX(ai_matched_option,3)),"")</f>
        <v/>
      </c>
      <c r="C15" s="32">
        <f>IFERROR(IF(INDEX(ai_exposure_ly_full,3)="","",INDEX(ai_exposure_ly_full,3)),"")</f>
        <v/>
      </c>
      <c r="D15" s="26">
        <f>IFERROR(IF(INDEX(ai_asif_recovery,3)="","",INDEX(ai_asif_recovery,3)),"")</f>
        <v/>
      </c>
      <c r="E15" s="26">
        <f>IFERROR(IF(INDEX(ai_asif_premium,3)="","",INDEX(ai_asif_premium,3)),"")</f>
        <v/>
      </c>
      <c r="F15" s="28">
        <f>IFERROR(D15/E15,"")</f>
        <v/>
      </c>
      <c r="G15" s="26">
        <f>IFERROR(IF(INDEX(ai_premium_year_level,3)="","",INDEX(ai_premium_year_level,3)),"")</f>
        <v/>
      </c>
      <c r="H15" s="26">
        <f>IFERROR(IF(INDEX(ai_actual_recovery,3)="","",INDEX(ai_actual_recovery,3)),"")</f>
        <v/>
      </c>
      <c r="I15" s="28">
        <f>IFERROR(H15/G15,"")</f>
        <v/>
      </c>
    </row>
    <row r="16">
      <c r="A16" s="44">
        <f>IFERROR(IF(INDEX(ai_ty,4)="","",INDEX(ai_ty,4)),"")</f>
        <v/>
      </c>
      <c r="B16" s="44">
        <f>IFERROR(IF(INDEX(ai_matched_option,4)="","",INDEX(ai_matched_option,4)),"")</f>
        <v/>
      </c>
      <c r="C16" s="32">
        <f>IFERROR(IF(INDEX(ai_exposure_ly_full,4)="","",INDEX(ai_exposure_ly_full,4)),"")</f>
        <v/>
      </c>
      <c r="D16" s="26">
        <f>IFERROR(IF(INDEX(ai_asif_recovery,4)="","",INDEX(ai_asif_recovery,4)),"")</f>
        <v/>
      </c>
      <c r="E16" s="26">
        <f>IFERROR(IF(INDEX(ai_asif_premium,4)="","",INDEX(ai_asif_premium,4)),"")</f>
        <v/>
      </c>
      <c r="F16" s="28">
        <f>IFERROR(D16/E16,"")</f>
        <v/>
      </c>
      <c r="G16" s="26">
        <f>IFERROR(IF(INDEX(ai_premium_year_level,4)="","",INDEX(ai_premium_year_level,4)),"")</f>
        <v/>
      </c>
      <c r="H16" s="26">
        <f>IFERROR(IF(INDEX(ai_actual_recovery,4)="","",INDEX(ai_actual_recovery,4)),"")</f>
        <v/>
      </c>
      <c r="I16" s="28">
        <f>IFERROR(H16/G16,"")</f>
        <v/>
      </c>
    </row>
    <row r="17">
      <c r="A17" s="44">
        <f>IFERROR(IF(INDEX(ai_ty,5)="","",INDEX(ai_ty,5)),"")</f>
        <v/>
      </c>
      <c r="B17" s="44">
        <f>IFERROR(IF(INDEX(ai_matched_option,5)="","",INDEX(ai_matched_option,5)),"")</f>
        <v/>
      </c>
      <c r="C17" s="32">
        <f>IFERROR(IF(INDEX(ai_exposure_ly_full,5)="","",INDEX(ai_exposure_ly_full,5)),"")</f>
        <v/>
      </c>
      <c r="D17" s="26">
        <f>IFERROR(IF(INDEX(ai_asif_recovery,5)="","",INDEX(ai_asif_recovery,5)),"")</f>
        <v/>
      </c>
      <c r="E17" s="26">
        <f>IFERROR(IF(INDEX(ai_asif_premium,5)="","",INDEX(ai_asif_premium,5)),"")</f>
        <v/>
      </c>
      <c r="F17" s="28">
        <f>IFERROR(D17/E17,"")</f>
        <v/>
      </c>
      <c r="G17" s="26">
        <f>IFERROR(IF(INDEX(ai_premium_year_level,5)="","",INDEX(ai_premium_year_level,5)),"")</f>
        <v/>
      </c>
      <c r="H17" s="26">
        <f>IFERROR(IF(INDEX(ai_actual_recovery,5)="","",INDEX(ai_actual_recovery,5)),"")</f>
        <v/>
      </c>
      <c r="I17" s="28">
        <f>IFERROR(H17/G17,"")</f>
        <v/>
      </c>
    </row>
    <row r="18">
      <c r="A18" s="44">
        <f>IFERROR(IF(INDEX(ai_ty,6)="","",INDEX(ai_ty,6)),"")</f>
        <v/>
      </c>
      <c r="B18" s="44">
        <f>IFERROR(IF(INDEX(ai_matched_option,6)="","",INDEX(ai_matched_option,6)),"")</f>
        <v/>
      </c>
      <c r="C18" s="32">
        <f>IFERROR(IF(INDEX(ai_exposure_ly_full,6)="","",INDEX(ai_exposure_ly_full,6)),"")</f>
        <v/>
      </c>
      <c r="D18" s="26">
        <f>IFERROR(IF(INDEX(ai_asif_recovery,6)="","",INDEX(ai_asif_recovery,6)),"")</f>
        <v/>
      </c>
      <c r="E18" s="26">
        <f>IFERROR(IF(INDEX(ai_asif_premium,6)="","",INDEX(ai_asif_premium,6)),"")</f>
        <v/>
      </c>
      <c r="F18" s="28">
        <f>IFERROR(D18/E18,"")</f>
        <v/>
      </c>
      <c r="G18" s="26">
        <f>IFERROR(IF(INDEX(ai_premium_year_level,6)="","",INDEX(ai_premium_year_level,6)),"")</f>
        <v/>
      </c>
      <c r="H18" s="26">
        <f>IFERROR(IF(INDEX(ai_actual_recovery,6)="","",INDEX(ai_actual_recovery,6)),"")</f>
        <v/>
      </c>
      <c r="I18" s="28">
        <f>IFERROR(H18/G18,"")</f>
        <v/>
      </c>
    </row>
    <row r="19">
      <c r="A19" s="44">
        <f>IFERROR(IF(INDEX(ai_ty,7)="","",INDEX(ai_ty,7)),"")</f>
        <v/>
      </c>
      <c r="B19" s="44">
        <f>IFERROR(IF(INDEX(ai_matched_option,7)="","",INDEX(ai_matched_option,7)),"")</f>
        <v/>
      </c>
      <c r="C19" s="32">
        <f>IFERROR(IF(INDEX(ai_exposure_ly_full,7)="","",INDEX(ai_exposure_ly_full,7)),"")</f>
        <v/>
      </c>
      <c r="D19" s="26">
        <f>IFERROR(IF(INDEX(ai_asif_recovery,7)="","",INDEX(ai_asif_recovery,7)),"")</f>
        <v/>
      </c>
      <c r="E19" s="26">
        <f>IFERROR(IF(INDEX(ai_asif_premium,7)="","",INDEX(ai_asif_premium,7)),"")</f>
        <v/>
      </c>
      <c r="F19" s="28">
        <f>IFERROR(D19/E19,"")</f>
        <v/>
      </c>
      <c r="G19" s="26">
        <f>IFERROR(IF(INDEX(ai_premium_year_level,7)="","",INDEX(ai_premium_year_level,7)),"")</f>
        <v/>
      </c>
      <c r="H19" s="26">
        <f>IFERROR(IF(INDEX(ai_actual_recovery,7)="","",INDEX(ai_actual_recovery,7)),"")</f>
        <v/>
      </c>
      <c r="I19" s="28">
        <f>IFERROR(H19/G19,"")</f>
        <v/>
      </c>
    </row>
    <row r="20">
      <c r="A20" s="44">
        <f>IFERROR(IF(INDEX(ai_ty,8)="","",INDEX(ai_ty,8)),"")</f>
        <v/>
      </c>
      <c r="B20" s="44">
        <f>IFERROR(IF(INDEX(ai_matched_option,8)="","",INDEX(ai_matched_option,8)),"")</f>
        <v/>
      </c>
      <c r="C20" s="32">
        <f>IFERROR(IF(INDEX(ai_exposure_ly_full,8)="","",INDEX(ai_exposure_ly_full,8)),"")</f>
        <v/>
      </c>
      <c r="D20" s="26">
        <f>IFERROR(IF(INDEX(ai_asif_recovery,8)="","",INDEX(ai_asif_recovery,8)),"")</f>
        <v/>
      </c>
      <c r="E20" s="26">
        <f>IFERROR(IF(INDEX(ai_asif_premium,8)="","",INDEX(ai_asif_premium,8)),"")</f>
        <v/>
      </c>
      <c r="F20" s="28">
        <f>IFERROR(D20/E20,"")</f>
        <v/>
      </c>
      <c r="G20" s="26">
        <f>IFERROR(IF(INDEX(ai_premium_year_level,8)="","",INDEX(ai_premium_year_level,8)),"")</f>
        <v/>
      </c>
      <c r="H20" s="26">
        <f>IFERROR(IF(INDEX(ai_actual_recovery,8)="","",INDEX(ai_actual_recovery,8)),"")</f>
        <v/>
      </c>
      <c r="I20" s="28">
        <f>IFERROR(H20/G20,"")</f>
        <v/>
      </c>
    </row>
    <row r="21">
      <c r="A21" s="44">
        <f>IFERROR(IF(INDEX(ai_ty,9)="","",INDEX(ai_ty,9)),"")</f>
        <v/>
      </c>
      <c r="B21" s="44">
        <f>IFERROR(IF(INDEX(ai_matched_option,9)="","",INDEX(ai_matched_option,9)),"")</f>
        <v/>
      </c>
      <c r="C21" s="32">
        <f>IFERROR(IF(INDEX(ai_exposure_ly_full,9)="","",INDEX(ai_exposure_ly_full,9)),"")</f>
        <v/>
      </c>
      <c r="D21" s="26">
        <f>IFERROR(IF(INDEX(ai_asif_recovery,9)="","",INDEX(ai_asif_recovery,9)),"")</f>
        <v/>
      </c>
      <c r="E21" s="26">
        <f>IFERROR(IF(INDEX(ai_asif_premium,9)="","",INDEX(ai_asif_premium,9)),"")</f>
        <v/>
      </c>
      <c r="F21" s="28">
        <f>IFERROR(D21/E21,"")</f>
        <v/>
      </c>
      <c r="G21" s="26">
        <f>IFERROR(IF(INDEX(ai_premium_year_level,9)="","",INDEX(ai_premium_year_level,9)),"")</f>
        <v/>
      </c>
      <c r="H21" s="26">
        <f>IFERROR(IF(INDEX(ai_actual_recovery,9)="","",INDEX(ai_actual_recovery,9)),"")</f>
        <v/>
      </c>
      <c r="I21" s="28">
        <f>IFERROR(H21/G21,"")</f>
        <v/>
      </c>
    </row>
    <row r="22">
      <c r="A22" s="44">
        <f>IFERROR(IF(INDEX(ai_ty,10)="","",INDEX(ai_ty,10)),"")</f>
        <v/>
      </c>
      <c r="B22" s="44">
        <f>IFERROR(IF(INDEX(ai_matched_option,10)="","",INDEX(ai_matched_option,10)),"")</f>
        <v/>
      </c>
      <c r="C22" s="32">
        <f>IFERROR(IF(INDEX(ai_exposure_ly_full,10)="","",INDEX(ai_exposure_ly_full,10)),"")</f>
        <v/>
      </c>
      <c r="D22" s="26">
        <f>IFERROR(IF(INDEX(ai_asif_recovery,10)="","",INDEX(ai_asif_recovery,10)),"")</f>
        <v/>
      </c>
      <c r="E22" s="26">
        <f>IFERROR(IF(INDEX(ai_asif_premium,10)="","",INDEX(ai_asif_premium,10)),"")</f>
        <v/>
      </c>
      <c r="F22" s="28">
        <f>IFERROR(D22/E22,"")</f>
        <v/>
      </c>
      <c r="G22" s="26">
        <f>IFERROR(IF(INDEX(ai_premium_year_level,10)="","",INDEX(ai_premium_year_level,10)),"")</f>
        <v/>
      </c>
      <c r="H22" s="26">
        <f>IFERROR(IF(INDEX(ai_actual_recovery,10)="","",INDEX(ai_actual_recovery,10)),"")</f>
        <v/>
      </c>
      <c r="I22" s="28">
        <f>IFERROR(H22/G22,"")</f>
        <v/>
      </c>
    </row>
    <row r="23">
      <c r="A23" s="44">
        <f>IFERROR(IF(INDEX(ai_ty,11)="","",INDEX(ai_ty,11)),"")</f>
        <v/>
      </c>
      <c r="B23" s="44">
        <f>IFERROR(IF(INDEX(ai_matched_option,11)="","",INDEX(ai_matched_option,11)),"")</f>
        <v/>
      </c>
      <c r="C23" s="32">
        <f>IFERROR(IF(INDEX(ai_exposure_ly_full,11)="","",INDEX(ai_exposure_ly_full,11)),"")</f>
        <v/>
      </c>
      <c r="D23" s="26">
        <f>IFERROR(IF(INDEX(ai_asif_recovery,11)="","",INDEX(ai_asif_recovery,11)),"")</f>
        <v/>
      </c>
      <c r="E23" s="26">
        <f>IFERROR(IF(INDEX(ai_asif_premium,11)="","",INDEX(ai_asif_premium,11)),"")</f>
        <v/>
      </c>
      <c r="F23" s="28">
        <f>IFERROR(D23/E23,"")</f>
        <v/>
      </c>
      <c r="G23" s="26">
        <f>IFERROR(IF(INDEX(ai_premium_year_level,11)="","",INDEX(ai_premium_year_level,11)),"")</f>
        <v/>
      </c>
      <c r="H23" s="26">
        <f>IFERROR(IF(INDEX(ai_actual_recovery,11)="","",INDEX(ai_actual_recovery,11)),"")</f>
        <v/>
      </c>
      <c r="I23" s="28">
        <f>IFERROR(H23/G23,"")</f>
        <v/>
      </c>
    </row>
    <row r="24">
      <c r="A24" s="44">
        <f>IFERROR(IF(INDEX(ai_ty,12)="","",INDEX(ai_ty,12)),"")</f>
        <v/>
      </c>
      <c r="B24" s="44">
        <f>IFERROR(IF(INDEX(ai_matched_option,12)="","",INDEX(ai_matched_option,12)),"")</f>
        <v/>
      </c>
      <c r="C24" s="32">
        <f>IFERROR(IF(INDEX(ai_exposure_ly_full,12)="","",INDEX(ai_exposure_ly_full,12)),"")</f>
        <v/>
      </c>
      <c r="D24" s="26">
        <f>IFERROR(IF(INDEX(ai_asif_recovery,12)="","",INDEX(ai_asif_recovery,12)),"")</f>
        <v/>
      </c>
      <c r="E24" s="26">
        <f>IFERROR(IF(INDEX(ai_asif_premium,12)="","",INDEX(ai_asif_premium,12)),"")</f>
        <v/>
      </c>
      <c r="F24" s="28">
        <f>IFERROR(D24/E24,"")</f>
        <v/>
      </c>
      <c r="G24" s="26">
        <f>IFERROR(IF(INDEX(ai_premium_year_level,12)="","",INDEX(ai_premium_year_level,12)),"")</f>
        <v/>
      </c>
      <c r="H24" s="26">
        <f>IFERROR(IF(INDEX(ai_actual_recovery,12)="","",INDEX(ai_actual_recovery,12)),"")</f>
        <v/>
      </c>
      <c r="I24" s="28">
        <f>IFERROR(H24/G24,"")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Sensitivity scenarios</t>
        </is>
      </c>
    </row>
    <row r="2">
      <c r="A2" s="2" t="inlineStr">
        <is>
          <t>Each run with Params scenario_id adds its rows to scn_summary (a re-run of the same id replaces them). Pick a structure key below.</t>
        </is>
      </c>
    </row>
    <row r="4">
      <c r="B4" s="9" t="inlineStr">
        <is>
          <t>Structure key</t>
        </is>
      </c>
      <c r="C4" s="8" t="inlineStr">
        <is>
          <t>1 PP 1</t>
        </is>
      </c>
    </row>
    <row r="6" ht="42" customHeight="1">
      <c r="A6" s="5" t="inlineStr">
        <is>
          <t>Scenario id</t>
        </is>
      </c>
      <c r="B6" s="5" t="inlineStr">
        <is>
          <t>Scenario</t>
        </is>
      </c>
      <c r="C6" s="5" t="inlineStr">
        <is>
          <t>Run at</t>
        </is>
      </c>
      <c r="D6" s="5" t="inlineStr">
        <is>
          <t>Net claims budget</t>
        </is>
      </c>
      <c r="E6" s="5" t="inlineStr">
        <is>
          <t>Mean recovery</t>
        </is>
      </c>
      <c r="F6" s="5" t="inlineStr">
        <is>
          <t>SD of recoveries</t>
        </is>
      </c>
      <c r="G6" s="5" t="inlineStr">
        <is>
          <t>Mean net claims</t>
        </is>
      </c>
      <c r="H6" s="5" t="inlineStr">
        <is>
          <t>Expected loss (blended)</t>
        </is>
      </c>
    </row>
    <row r="7">
      <c r="A7" s="6" t="n">
        <v>0</v>
      </c>
      <c r="B7" s="6">
        <f>IFERROR(INDEX(sc_scenario_name,MATCH($A7,sc_scenario_id,0)),"")</f>
        <v/>
      </c>
      <c r="C7" s="6">
        <f>IFERROR(INDEX(sc_run_at,MATCH($A7,sc_scenario_id,0)),"")</f>
        <v/>
      </c>
      <c r="D7" s="26">
        <f>IF(COUNTIFS(sc_scenario_id,$A7,sc_struct_key,$C$4)&gt;0,SUMIFS(sc_budget,sc_scenario_id,$A7,sc_struct_key,$C$4),"")</f>
        <v/>
      </c>
      <c r="E7" s="26">
        <f>IF(COUNTIFS(sc_scenario_id,$A7,sc_struct_key,$C$4)&gt;0,SUMIFS(sc_mean_recovery,sc_scenario_id,$A7,sc_struct_key,$C$4),"")</f>
        <v/>
      </c>
      <c r="F7" s="26">
        <f>IF(COUNTIFS(sc_scenario_id,$A7,sc_struct_key,$C$4)&gt;0,SUMIFS(sc_sd_recovery,sc_scenario_id,$A7,sc_struct_key,$C$4),"")</f>
        <v/>
      </c>
      <c r="G7" s="26">
        <f>IF(COUNTIFS(sc_scenario_id,$A7,sc_struct_key,$C$4)&gt;0,SUMIFS(sc_mean_net,sc_scenario_id,$A7,sc_struct_key,$C$4),"")</f>
        <v/>
      </c>
      <c r="H7" s="26">
        <f>IF(COUNTIFS(sc_scenario_id,$A7,sc_struct_key,$C$4)&gt;0,SUMIFS(sc_expected_loss_blended,sc_scenario_id,$A7,sc_struct_key,$C$4),"")</f>
        <v/>
      </c>
    </row>
    <row r="8">
      <c r="A8" s="6" t="n">
        <v>1</v>
      </c>
      <c r="B8" s="6">
        <f>IFERROR(INDEX(sc_scenario_name,MATCH($A8,sc_scenario_id,0)),"")</f>
        <v/>
      </c>
      <c r="C8" s="6">
        <f>IFERROR(INDEX(sc_run_at,MATCH($A8,sc_scenario_id,0)),"")</f>
        <v/>
      </c>
      <c r="D8" s="26">
        <f>IF(COUNTIFS(sc_scenario_id,$A8,sc_struct_key,$C$4)&gt;0,SUMIFS(sc_budget,sc_scenario_id,$A8,sc_struct_key,$C$4),"")</f>
        <v/>
      </c>
      <c r="E8" s="26">
        <f>IF(COUNTIFS(sc_scenario_id,$A8,sc_struct_key,$C$4)&gt;0,SUMIFS(sc_mean_recovery,sc_scenario_id,$A8,sc_struct_key,$C$4),"")</f>
        <v/>
      </c>
      <c r="F8" s="26">
        <f>IF(COUNTIFS(sc_scenario_id,$A8,sc_struct_key,$C$4)&gt;0,SUMIFS(sc_sd_recovery,sc_scenario_id,$A8,sc_struct_key,$C$4),"")</f>
        <v/>
      </c>
      <c r="G8" s="26">
        <f>IF(COUNTIFS(sc_scenario_id,$A8,sc_struct_key,$C$4)&gt;0,SUMIFS(sc_mean_net,sc_scenario_id,$A8,sc_struct_key,$C$4),"")</f>
        <v/>
      </c>
      <c r="H8" s="26">
        <f>IF(COUNTIFS(sc_scenario_id,$A8,sc_struct_key,$C$4)&gt;0,SUMIFS(sc_expected_loss_blended,sc_scenario_id,$A8,sc_struct_key,$C$4),"")</f>
        <v/>
      </c>
    </row>
    <row r="9">
      <c r="A9" s="6" t="n">
        <v>2</v>
      </c>
      <c r="B9" s="6">
        <f>IFERROR(INDEX(sc_scenario_name,MATCH($A9,sc_scenario_id,0)),"")</f>
        <v/>
      </c>
      <c r="C9" s="6">
        <f>IFERROR(INDEX(sc_run_at,MATCH($A9,sc_scenario_id,0)),"")</f>
        <v/>
      </c>
      <c r="D9" s="26">
        <f>IF(COUNTIFS(sc_scenario_id,$A9,sc_struct_key,$C$4)&gt;0,SUMIFS(sc_budget,sc_scenario_id,$A9,sc_struct_key,$C$4),"")</f>
        <v/>
      </c>
      <c r="E9" s="26">
        <f>IF(COUNTIFS(sc_scenario_id,$A9,sc_struct_key,$C$4)&gt;0,SUMIFS(sc_mean_recovery,sc_scenario_id,$A9,sc_struct_key,$C$4),"")</f>
        <v/>
      </c>
      <c r="F9" s="26">
        <f>IF(COUNTIFS(sc_scenario_id,$A9,sc_struct_key,$C$4)&gt;0,SUMIFS(sc_sd_recovery,sc_scenario_id,$A9,sc_struct_key,$C$4),"")</f>
        <v/>
      </c>
      <c r="G9" s="26">
        <f>IF(COUNTIFS(sc_scenario_id,$A9,sc_struct_key,$C$4)&gt;0,SUMIFS(sc_mean_net,sc_scenario_id,$A9,sc_struct_key,$C$4),"")</f>
        <v/>
      </c>
      <c r="H9" s="26">
        <f>IF(COUNTIFS(sc_scenario_id,$A9,sc_struct_key,$C$4)&gt;0,SUMIFS(sc_expected_loss_blended,sc_scenario_id,$A9,sc_struct_key,$C$4),"")</f>
        <v/>
      </c>
    </row>
    <row r="10">
      <c r="A10" s="6" t="n">
        <v>3</v>
      </c>
      <c r="B10" s="6">
        <f>IFERROR(INDEX(sc_scenario_name,MATCH($A10,sc_scenario_id,0)),"")</f>
        <v/>
      </c>
      <c r="C10" s="6">
        <f>IFERROR(INDEX(sc_run_at,MATCH($A10,sc_scenario_id,0)),"")</f>
        <v/>
      </c>
      <c r="D10" s="26">
        <f>IF(COUNTIFS(sc_scenario_id,$A10,sc_struct_key,$C$4)&gt;0,SUMIFS(sc_budget,sc_scenario_id,$A10,sc_struct_key,$C$4),"")</f>
        <v/>
      </c>
      <c r="E10" s="26">
        <f>IF(COUNTIFS(sc_scenario_id,$A10,sc_struct_key,$C$4)&gt;0,SUMIFS(sc_mean_recovery,sc_scenario_id,$A10,sc_struct_key,$C$4),"")</f>
        <v/>
      </c>
      <c r="F10" s="26">
        <f>IF(COUNTIFS(sc_scenario_id,$A10,sc_struct_key,$C$4)&gt;0,SUMIFS(sc_sd_recovery,sc_scenario_id,$A10,sc_struct_key,$C$4),"")</f>
        <v/>
      </c>
      <c r="G10" s="26">
        <f>IF(COUNTIFS(sc_scenario_id,$A10,sc_struct_key,$C$4)&gt;0,SUMIFS(sc_mean_net,sc_scenario_id,$A10,sc_struct_key,$C$4),"")</f>
        <v/>
      </c>
      <c r="H10" s="26">
        <f>IF(COUNTIFS(sc_scenario_id,$A10,sc_struct_key,$C$4)&gt;0,SUMIFS(sc_expected_loss_blended,sc_scenario_id,$A10,sc_struct_key,$C$4),"")</f>
        <v/>
      </c>
    </row>
    <row r="11">
      <c r="A11" s="6" t="n">
        <v>4</v>
      </c>
      <c r="B11" s="6">
        <f>IFERROR(INDEX(sc_scenario_name,MATCH($A11,sc_scenario_id,0)),"")</f>
        <v/>
      </c>
      <c r="C11" s="6">
        <f>IFERROR(INDEX(sc_run_at,MATCH($A11,sc_scenario_id,0)),"")</f>
        <v/>
      </c>
      <c r="D11" s="26">
        <f>IF(COUNTIFS(sc_scenario_id,$A11,sc_struct_key,$C$4)&gt;0,SUMIFS(sc_budget,sc_scenario_id,$A11,sc_struct_key,$C$4),"")</f>
        <v/>
      </c>
      <c r="E11" s="26">
        <f>IF(COUNTIFS(sc_scenario_id,$A11,sc_struct_key,$C$4)&gt;0,SUMIFS(sc_mean_recovery,sc_scenario_id,$A11,sc_struct_key,$C$4),"")</f>
        <v/>
      </c>
      <c r="F11" s="26">
        <f>IF(COUNTIFS(sc_scenario_id,$A11,sc_struct_key,$C$4)&gt;0,SUMIFS(sc_sd_recovery,sc_scenario_id,$A11,sc_struct_key,$C$4),"")</f>
        <v/>
      </c>
      <c r="G11" s="26">
        <f>IF(COUNTIFS(sc_scenario_id,$A11,sc_struct_key,$C$4)&gt;0,SUMIFS(sc_mean_net,sc_scenario_id,$A11,sc_struct_key,$C$4),"")</f>
        <v/>
      </c>
      <c r="H11" s="26">
        <f>IF(COUNTIFS(sc_scenario_id,$A11,sc_struct_key,$C$4)&gt;0,SUMIFS(sc_expected_loss_blended,sc_scenario_id,$A11,sc_struct_key,$C$4),"")</f>
        <v/>
      </c>
    </row>
    <row r="12">
      <c r="A12" s="6" t="n">
        <v>5</v>
      </c>
      <c r="B12" s="6">
        <f>IFERROR(INDEX(sc_scenario_name,MATCH($A12,sc_scenario_id,0)),"")</f>
        <v/>
      </c>
      <c r="C12" s="6">
        <f>IFERROR(INDEX(sc_run_at,MATCH($A12,sc_scenario_id,0)),"")</f>
        <v/>
      </c>
      <c r="D12" s="26">
        <f>IF(COUNTIFS(sc_scenario_id,$A12,sc_struct_key,$C$4)&gt;0,SUMIFS(sc_budget,sc_scenario_id,$A12,sc_struct_key,$C$4),"")</f>
        <v/>
      </c>
      <c r="E12" s="26">
        <f>IF(COUNTIFS(sc_scenario_id,$A12,sc_struct_key,$C$4)&gt;0,SUMIFS(sc_mean_recovery,sc_scenario_id,$A12,sc_struct_key,$C$4),"")</f>
        <v/>
      </c>
      <c r="F12" s="26">
        <f>IF(COUNTIFS(sc_scenario_id,$A12,sc_struct_key,$C$4)&gt;0,SUMIFS(sc_sd_recovery,sc_scenario_id,$A12,sc_struct_key,$C$4),"")</f>
        <v/>
      </c>
      <c r="G12" s="26">
        <f>IF(COUNTIFS(sc_scenario_id,$A12,sc_struct_key,$C$4)&gt;0,SUMIFS(sc_mean_net,sc_scenario_id,$A12,sc_struct_key,$C$4),"")</f>
        <v/>
      </c>
      <c r="H12" s="26">
        <f>IF(COUNTIFS(sc_scenario_id,$A12,sc_struct_key,$C$4)&gt;0,SUMIFS(sc_expected_loss_blended,sc_scenario_id,$A12,sc_struct_key,$C$4),"")</f>
        <v/>
      </c>
    </row>
    <row r="13">
      <c r="A13" s="6" t="n">
        <v>6</v>
      </c>
      <c r="B13" s="6">
        <f>IFERROR(INDEX(sc_scenario_name,MATCH($A13,sc_scenario_id,0)),"")</f>
        <v/>
      </c>
      <c r="C13" s="6">
        <f>IFERROR(INDEX(sc_run_at,MATCH($A13,sc_scenario_id,0)),"")</f>
        <v/>
      </c>
      <c r="D13" s="26">
        <f>IF(COUNTIFS(sc_scenario_id,$A13,sc_struct_key,$C$4)&gt;0,SUMIFS(sc_budget,sc_scenario_id,$A13,sc_struct_key,$C$4),"")</f>
        <v/>
      </c>
      <c r="E13" s="26">
        <f>IF(COUNTIFS(sc_scenario_id,$A13,sc_struct_key,$C$4)&gt;0,SUMIFS(sc_mean_recovery,sc_scenario_id,$A13,sc_struct_key,$C$4),"")</f>
        <v/>
      </c>
      <c r="F13" s="26">
        <f>IF(COUNTIFS(sc_scenario_id,$A13,sc_struct_key,$C$4)&gt;0,SUMIFS(sc_sd_recovery,sc_scenario_id,$A13,sc_struct_key,$C$4),"")</f>
        <v/>
      </c>
      <c r="G13" s="26">
        <f>IF(COUNTIFS(sc_scenario_id,$A13,sc_struct_key,$C$4)&gt;0,SUMIFS(sc_mean_net,sc_scenario_id,$A13,sc_struct_key,$C$4),"")</f>
        <v/>
      </c>
      <c r="H13" s="26">
        <f>IF(COUNTIFS(sc_scenario_id,$A13,sc_struct_key,$C$4)&gt;0,SUMIFS(sc_expected_loss_blended,sc_scenario_id,$A13,sc_struct_key,$C$4),"")</f>
        <v/>
      </c>
    </row>
    <row r="14">
      <c r="A14" s="6" t="n">
        <v>7</v>
      </c>
      <c r="B14" s="6">
        <f>IFERROR(INDEX(sc_scenario_name,MATCH($A14,sc_scenario_id,0)),"")</f>
        <v/>
      </c>
      <c r="C14" s="6">
        <f>IFERROR(INDEX(sc_run_at,MATCH($A14,sc_scenario_id,0)),"")</f>
        <v/>
      </c>
      <c r="D14" s="26">
        <f>IF(COUNTIFS(sc_scenario_id,$A14,sc_struct_key,$C$4)&gt;0,SUMIFS(sc_budget,sc_scenario_id,$A14,sc_struct_key,$C$4),"")</f>
        <v/>
      </c>
      <c r="E14" s="26">
        <f>IF(COUNTIFS(sc_scenario_id,$A14,sc_struct_key,$C$4)&gt;0,SUMIFS(sc_mean_recovery,sc_scenario_id,$A14,sc_struct_key,$C$4),"")</f>
        <v/>
      </c>
      <c r="F14" s="26">
        <f>IF(COUNTIFS(sc_scenario_id,$A14,sc_struct_key,$C$4)&gt;0,SUMIFS(sc_sd_recovery,sc_scenario_id,$A14,sc_struct_key,$C$4),"")</f>
        <v/>
      </c>
      <c r="G14" s="26">
        <f>IF(COUNTIFS(sc_scenario_id,$A14,sc_struct_key,$C$4)&gt;0,SUMIFS(sc_mean_net,sc_scenario_id,$A14,sc_struct_key,$C$4),"")</f>
        <v/>
      </c>
      <c r="H14" s="26">
        <f>IF(COUNTIFS(sc_scenario_id,$A14,sc_struct_key,$C$4)&gt;0,SUMIFS(sc_expected_loss_blended,sc_scenario_id,$A14,sc_struct_key,$C$4),"")</f>
        <v/>
      </c>
    </row>
    <row r="15">
      <c r="A15" s="6" t="n">
        <v>8</v>
      </c>
      <c r="B15" s="6">
        <f>IFERROR(INDEX(sc_scenario_name,MATCH($A15,sc_scenario_id,0)),"")</f>
        <v/>
      </c>
      <c r="C15" s="6">
        <f>IFERROR(INDEX(sc_run_at,MATCH($A15,sc_scenario_id,0)),"")</f>
        <v/>
      </c>
      <c r="D15" s="26">
        <f>IF(COUNTIFS(sc_scenario_id,$A15,sc_struct_key,$C$4)&gt;0,SUMIFS(sc_budget,sc_scenario_id,$A15,sc_struct_key,$C$4),"")</f>
        <v/>
      </c>
      <c r="E15" s="26">
        <f>IF(COUNTIFS(sc_scenario_id,$A15,sc_struct_key,$C$4)&gt;0,SUMIFS(sc_mean_recovery,sc_scenario_id,$A15,sc_struct_key,$C$4),"")</f>
        <v/>
      </c>
      <c r="F15" s="26">
        <f>IF(COUNTIFS(sc_scenario_id,$A15,sc_struct_key,$C$4)&gt;0,SUMIFS(sc_sd_recovery,sc_scenario_id,$A15,sc_struct_key,$C$4),"")</f>
        <v/>
      </c>
      <c r="G15" s="26">
        <f>IF(COUNTIFS(sc_scenario_id,$A15,sc_struct_key,$C$4)&gt;0,SUMIFS(sc_mean_net,sc_scenario_id,$A15,sc_struct_key,$C$4),"")</f>
        <v/>
      </c>
      <c r="H15" s="26">
        <f>IF(COUNTIFS(sc_scenario_id,$A15,sc_struct_key,$C$4)&gt;0,SUMIFS(sc_expected_loss_blended,sc_scenario_id,$A15,sc_struct_key,$C$4),"")</f>
        <v/>
      </c>
    </row>
    <row r="16">
      <c r="A16" s="6" t="n">
        <v>9</v>
      </c>
      <c r="B16" s="6">
        <f>IFERROR(INDEX(sc_scenario_name,MATCH($A16,sc_scenario_id,0)),"")</f>
        <v/>
      </c>
      <c r="C16" s="6">
        <f>IFERROR(INDEX(sc_run_at,MATCH($A16,sc_scenario_id,0)),"")</f>
        <v/>
      </c>
      <c r="D16" s="26">
        <f>IF(COUNTIFS(sc_scenario_id,$A16,sc_struct_key,$C$4)&gt;0,SUMIFS(sc_budget,sc_scenario_id,$A16,sc_struct_key,$C$4),"")</f>
        <v/>
      </c>
      <c r="E16" s="26">
        <f>IF(COUNTIFS(sc_scenario_id,$A16,sc_struct_key,$C$4)&gt;0,SUMIFS(sc_mean_recovery,sc_scenario_id,$A16,sc_struct_key,$C$4),"")</f>
        <v/>
      </c>
      <c r="F16" s="26">
        <f>IF(COUNTIFS(sc_scenario_id,$A16,sc_struct_key,$C$4)&gt;0,SUMIFS(sc_sd_recovery,sc_scenario_id,$A16,sc_struct_key,$C$4),"")</f>
        <v/>
      </c>
      <c r="G16" s="26">
        <f>IF(COUNTIFS(sc_scenario_id,$A16,sc_struct_key,$C$4)&gt;0,SUMIFS(sc_mean_net,sc_scenario_id,$A16,sc_struct_key,$C$4),"")</f>
        <v/>
      </c>
      <c r="H16" s="26">
        <f>IF(COUNTIFS(sc_scenario_id,$A16,sc_struct_key,$C$4)&gt;0,SUMIFS(sc_expected_loss_blended,sc_scenario_id,$A16,sc_struct_key,$C$4),"")</f>
        <v/>
      </c>
    </row>
  </sheetData>
  <dataValidations count="1">
    <dataValidation sqref="C4" showDropDown="0" showInputMessage="0" showErrorMessage="0" allowBlank="0" type="list">
      <formula1>"0 NONE,1 PP 1,1 PP 2,1 PP 3,1 PP 4,3 EV 1,3 EV 2,3 EV 3,3 EV 4,2 SL 1,2 SL 2,2 SL 3,2 SL 4,4 PROGRAMME"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cedant</t>
        </is>
      </c>
      <c r="B1" s="9" t="inlineStr">
        <is>
          <t>country</t>
        </is>
      </c>
      <c r="C1" s="9" t="inlineStr">
        <is>
          <t>line</t>
        </is>
      </c>
      <c r="D1" s="9" t="inlineStr">
        <is>
          <t>quote_ccy</t>
        </is>
      </c>
      <c r="E1" s="9" t="inlineStr">
        <is>
          <t>fx_quote_to_usd</t>
        </is>
      </c>
      <c r="F1" s="9" t="inlineStr">
        <is>
          <t>treaty_start</t>
        </is>
      </c>
      <c r="G1" s="9" t="inlineStr">
        <is>
          <t>quote_year</t>
        </is>
      </c>
      <c r="H1" s="9" t="inlineStr">
        <is>
          <t>run_label</t>
        </is>
      </c>
      <c r="I1" s="9" t="inlineStr">
        <is>
          <t>scenario_id</t>
        </is>
      </c>
      <c r="J1" s="9" t="inlineStr">
        <is>
          <t>source_mode</t>
        </is>
      </c>
      <c r="K1" s="9" t="inlineStr">
        <is>
          <t>premium_basis</t>
        </is>
      </c>
      <c r="L1" s="9" t="inlineStr">
        <is>
          <t>segment_field</t>
        </is>
      </c>
      <c r="M1" s="9" t="inlineStr">
        <is>
          <t>ete_tpa_filter</t>
        </is>
      </c>
      <c r="N1" s="9" t="inlineStr">
        <is>
          <t>treaty_basis</t>
        </is>
      </c>
      <c r="O1" s="9" t="inlineStr">
        <is>
          <t>claims_trigger</t>
        </is>
      </c>
      <c r="P1" s="9" t="inlineStr">
        <is>
          <t>paid_runoff_months</t>
        </is>
      </c>
      <c r="Q1" s="9" t="inlineStr">
        <is>
          <t>pp_accumulation</t>
        </is>
      </c>
      <c r="R1" s="9" t="inlineStr">
        <is>
          <t>epi_quote_year</t>
        </is>
      </c>
      <c r="S1" s="9" t="inlineStr">
        <is>
          <t>expected_lives_quote_year</t>
        </is>
      </c>
      <c r="T1" s="9" t="inlineStr">
        <is>
          <t>years_included</t>
        </is>
      </c>
      <c r="U1" s="9" t="inlineStr">
        <is>
          <t>output_threshold_pct_min_ap</t>
        </is>
      </c>
      <c r="V1" s="9" t="inlineStr">
        <is>
          <t>policy_limit</t>
        </is>
      </c>
      <c r="W1" s="9" t="inlineStr">
        <is>
          <t>outlier_method</t>
        </is>
      </c>
      <c r="X1" s="9" t="inlineStr">
        <is>
          <t>outlier_value</t>
        </is>
      </c>
      <c r="Y1" s="9" t="inlineStr">
        <is>
          <t>iqr_multiplier</t>
        </is>
      </c>
      <c r="Z1" s="9" t="inlineStr">
        <is>
          <t>full_cred_n</t>
        </is>
      </c>
      <c r="AA1" s="9" t="inlineStr">
        <is>
          <t>complement_source</t>
        </is>
      </c>
      <c r="AB1" s="9" t="inlineStr">
        <is>
          <t>benchmark_rate</t>
        </is>
      </c>
      <c r="AC1" s="9" t="inlineStr">
        <is>
          <t>incidence_adj</t>
        </is>
      </c>
      <c r="AD1" s="9" t="inlineStr">
        <is>
          <t>qs_cedant_retention_pct</t>
        </is>
      </c>
      <c r="AE1" s="9" t="inlineStr">
        <is>
          <t>evaluate_mode</t>
        </is>
      </c>
      <c r="AF1" s="9" t="inlineStr">
        <is>
          <t>iterations</t>
        </is>
      </c>
      <c r="AG1" s="9" t="inlineStr">
        <is>
          <t>seed</t>
        </is>
      </c>
      <c r="AH1" s="9" t="inlineStr">
        <is>
          <t>fit_cutoff</t>
        </is>
      </c>
      <c r="AI1" s="9" t="inlineStr">
        <is>
          <t>fit_candidates</t>
        </is>
      </c>
      <c r="AJ1" s="9" t="inlineStr">
        <is>
          <t>freq_model</t>
        </is>
      </c>
      <c r="AK1" s="9" t="inlineStr">
        <is>
          <t>ev_freq_source</t>
        </is>
      </c>
      <c r="AL1" s="9" t="inlineStr">
        <is>
          <t>sl_attritional_threshold</t>
        </is>
      </c>
      <c r="AM1" s="9" t="inlineStr">
        <is>
          <t>sl_cov_floor</t>
        </is>
      </c>
      <c r="AN1" s="9" t="inlineStr">
        <is>
          <t>sl_attritional_dist</t>
        </is>
      </c>
      <c r="AO1" s="9" t="inlineStr">
        <is>
          <t>net_claims_budget</t>
        </is>
      </c>
      <c r="AP1" s="9" t="inlineStr">
        <is>
          <t>reference_lives</t>
        </is>
      </c>
      <c r="AQ1" s="9" t="inlineStr">
        <is>
          <t>return_periods</t>
        </is>
      </c>
      <c r="AR1" s="9" t="inlineStr">
        <is>
          <t>currency_display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cover</t>
        </is>
      </c>
      <c r="B1" s="9" t="inlineStr">
        <is>
          <t>reinsurer_expense_pct</t>
        </is>
      </c>
      <c r="C1" s="9" t="inlineStr">
        <is>
          <t>brokerage_pct</t>
        </is>
      </c>
      <c r="D1" s="9" t="inlineStr">
        <is>
          <t>profit_margin_pct</t>
        </is>
      </c>
      <c r="E1" s="9" t="inlineStr">
        <is>
          <t>premium_tax_pct</t>
        </is>
      </c>
      <c r="F1" s="9" t="inlineStr">
        <is>
          <t>risk_load_k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item</t>
        </is>
      </c>
      <c r="B1" s="9" t="inlineStr">
        <is>
          <t>value</t>
        </is>
      </c>
      <c r="C1" s="9" t="inlineStr">
        <is>
          <t>justification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stage</t>
        </is>
      </c>
      <c r="B1" s="9" t="inlineStr">
        <is>
          <t>code</t>
        </is>
      </c>
      <c r="C1" s="9" t="inlineStr">
        <is>
          <t>severity</t>
        </is>
      </c>
      <c r="D1" s="9" t="inlineStr">
        <is>
          <t>item</t>
        </is>
      </c>
      <c r="E1" s="9" t="inlineStr">
        <is>
          <t>message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stage</t>
        </is>
      </c>
      <c r="B1" s="9" t="inlineStr">
        <is>
          <t>table</t>
        </is>
      </c>
      <c r="C1" s="9" t="inlineStr">
        <is>
          <t>measure</t>
        </is>
      </c>
      <c r="D1" s="9" t="inlineStr">
        <is>
          <t>value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ty</t>
        </is>
      </c>
      <c r="B1" s="9" t="inlineStr">
        <is>
          <t>component</t>
        </is>
      </c>
      <c r="C1" s="9" t="inlineStr">
        <is>
          <t>measure</t>
        </is>
      </c>
      <c r="D1" s="9" t="inlineStr">
        <is>
          <t>months_elapsed</t>
        </is>
      </c>
      <c r="E1" s="9" t="inlineStr">
        <is>
          <t>indicated_factor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lim_basis</t>
        </is>
      </c>
      <c r="E1" s="9" t="inlineStr">
        <is>
          <t>ap</t>
        </is>
      </c>
      <c r="F1" s="9" t="inlineStr">
        <is>
          <t>limit</t>
        </is>
      </c>
      <c r="G1" s="9" t="inlineStr">
        <is>
          <t>aad</t>
        </is>
      </c>
      <c r="H1" s="9" t="inlineStr">
        <is>
          <t>aal</t>
        </is>
      </c>
      <c r="I1" s="9" t="inlineStr">
        <is>
          <t>cop</t>
        </is>
      </c>
      <c r="J1" s="9" t="inlineStr">
        <is>
          <t>n_years</t>
        </is>
      </c>
      <c r="K1" s="9" t="inlineStr">
        <is>
          <t>n_xl_claims</t>
        </is>
      </c>
      <c r="L1" s="9" t="inlineStr">
        <is>
          <t>credibility_z</t>
        </is>
      </c>
      <c r="M1" s="9" t="inlineStr">
        <is>
          <t>bc_pppy_weighted_non</t>
        </is>
      </c>
      <c r="N1" s="9" t="inlineStr">
        <is>
          <t>bc_pppy_outlier</t>
        </is>
      </c>
      <c r="O1" s="9" t="inlineStr">
        <is>
          <t>bc_pppy_total</t>
        </is>
      </c>
      <c r="P1" s="9" t="inlineStr">
        <is>
          <t>bc_pct_prem_weighted</t>
        </is>
      </c>
      <c r="Q1" s="9" t="inlineStr">
        <is>
          <t>sens_straight_mean</t>
        </is>
      </c>
      <c r="R1" s="9" t="inlineStr">
        <is>
          <t>sens_wfreq_x_sev</t>
        </is>
      </c>
      <c r="S1" s="9" t="inlineStr">
        <is>
          <t>sens_sfreq_x_sev</t>
        </is>
      </c>
      <c r="T1" s="9" t="inlineStr">
        <is>
          <t>bc_min</t>
        </is>
      </c>
      <c r="U1" s="9" t="inlineStr">
        <is>
          <t>bc_max</t>
        </is>
      </c>
      <c r="V1" s="9" t="inlineStr">
        <is>
          <t>lev_trend</t>
        </is>
      </c>
      <c r="W1" s="9" t="inlineStr">
        <is>
          <t>base_trend</t>
        </is>
      </c>
      <c r="X1" s="9" t="inlineStr">
        <is>
          <t>leverage_factor</t>
        </is>
      </c>
      <c r="Y1" s="9" t="inlineStr">
        <is>
          <t>outlier_thr</t>
        </is>
      </c>
      <c r="Z1" s="9" t="inlineStr">
        <is>
          <t>lives_quote_year</t>
        </is>
      </c>
      <c r="AA1" s="9" t="inlineStr">
        <is>
          <t>expected_cost_det</t>
        </is>
      </c>
      <c r="AB1" s="9" t="inlineStr">
        <is>
          <t>expected_cost_pct_epi</t>
        </is>
      </c>
      <c r="AC1" s="9" t="inlineStr">
        <is>
          <t>expected_cost_from_pct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ty</t>
        </is>
      </c>
      <c r="E1" s="9" t="inlineStr">
        <is>
          <t>months_elapsed</t>
        </is>
      </c>
      <c r="F1" s="9" t="inlineStr">
        <is>
          <t>exposure_ly_full</t>
        </is>
      </c>
      <c r="G1" s="9" t="inlineStr">
        <is>
          <t>exposure_prem_full</t>
        </is>
      </c>
      <c r="H1" s="9" t="inlineStr">
        <is>
          <t>prem_trend_f</t>
        </is>
      </c>
      <c r="I1" s="9" t="inlineStr">
        <is>
          <t>n_xl</t>
        </is>
      </c>
      <c r="J1" s="9" t="inlineStr">
        <is>
          <t>n_c</t>
        </is>
      </c>
      <c r="K1" s="9" t="inlineStr">
        <is>
          <t>freq_per_1000</t>
        </is>
      </c>
      <c r="L1" s="9" t="inlineStr">
        <is>
          <t>xl</t>
        </is>
      </c>
      <c r="M1" s="9" t="inlineStr">
        <is>
          <t>xl_c</t>
        </is>
      </c>
      <c r="N1" s="9" t="inlineStr">
        <is>
          <t>severity</t>
        </is>
      </c>
      <c r="O1" s="9" t="inlineStr">
        <is>
          <t>xl_aa</t>
        </is>
      </c>
      <c r="P1" s="9" t="inlineStr">
        <is>
          <t>xl_non</t>
        </is>
      </c>
      <c r="Q1" s="9" t="inlineStr">
        <is>
          <t>xl_out</t>
        </is>
      </c>
      <c r="R1" s="9" t="inlineStr">
        <is>
          <t>bc_pppy</t>
        </is>
      </c>
      <c r="S1" s="9" t="inlineStr">
        <is>
          <t>bc_pppy_non</t>
        </is>
      </c>
      <c r="T1" s="9" t="inlineStr">
        <is>
          <t>bc_pppy_out</t>
        </is>
      </c>
      <c r="U1" s="9" t="inlineStr">
        <is>
          <t>bc_pct_prem</t>
        </is>
      </c>
      <c r="V1" s="9" t="inlineStr">
        <is>
          <t>weight</t>
        </is>
      </c>
      <c r="W1" s="9" t="inlineStr">
        <is>
          <t>weight_out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ty</t>
        </is>
      </c>
      <c r="E1" s="9" t="inlineStr">
        <is>
          <t>xl_reported</t>
        </is>
      </c>
      <c r="F1" s="9" t="inlineStr">
        <is>
          <t>xl_ibnr</t>
        </is>
      </c>
      <c r="G1" s="9" t="inlineStr">
        <is>
          <t>xl_unearned</t>
        </is>
      </c>
      <c r="H1" s="9" t="inlineStr">
        <is>
          <t>xl_unwritten</t>
        </is>
      </c>
      <c r="I1" s="9" t="inlineStr">
        <is>
          <t>n_reported</t>
        </is>
      </c>
      <c r="J1" s="9" t="inlineStr">
        <is>
          <t>n_ibnr</t>
        </is>
      </c>
      <c r="K1" s="9" t="inlineStr">
        <is>
          <t>n_unearned</t>
        </is>
      </c>
      <c r="L1" s="9" t="inlineStr">
        <is>
          <t>n_unwritten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acc_key</t>
        </is>
      </c>
      <c r="B1" s="9" t="inlineStr">
        <is>
          <t>member_id</t>
        </is>
      </c>
      <c r="C1" s="9" t="inlineStr">
        <is>
          <t>ty</t>
        </is>
      </c>
      <c r="D1" s="9" t="inlineStr">
        <is>
          <t>segment</t>
        </is>
      </c>
      <c r="E1" s="9" t="inlineStr">
        <is>
          <t>scheme_id</t>
        </is>
      </c>
      <c r="F1" s="9" t="inlineStr">
        <is>
          <t>first_treatment</t>
        </is>
      </c>
      <c r="G1" s="9" t="inlineStr">
        <is>
          <t>amount_q</t>
        </is>
      </c>
      <c r="H1" s="9" t="inlineStr">
        <is>
          <t>trend_f</t>
        </is>
      </c>
      <c r="I1" s="9" t="inlineStr">
        <is>
          <t>trended</t>
        </is>
      </c>
      <c r="J1" s="9" t="inlineStr">
        <is>
          <t>pre_ap_f</t>
        </is>
      </c>
      <c r="K1" s="9" t="inlineStr">
        <is>
          <t>adj_uncapped</t>
        </is>
      </c>
      <c r="L1" s="9" t="inlineStr">
        <is>
          <t>cap</t>
        </is>
      </c>
      <c r="M1" s="9" t="inlineStr">
        <is>
          <t>adj</t>
        </is>
      </c>
      <c r="N1" s="9" t="inlineStr">
        <is>
          <t>outlier</t>
        </is>
      </c>
      <c r="O1" s="9" t="inlineStr">
        <is>
          <t>outlier_thr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</t>
        </is>
      </c>
      <c r="B1" s="9" t="inlineStr">
        <is>
          <t>t_label</t>
        </is>
      </c>
      <c r="C1" s="9" t="inlineStr">
        <is>
          <t>u_fit</t>
        </is>
      </c>
      <c r="D1" s="9" t="inlineStr">
        <is>
          <t>alpha</t>
        </is>
      </c>
      <c r="E1" s="9" t="inlineStr">
        <is>
          <t>alpha_se</t>
        </is>
      </c>
      <c r="F1" s="9" t="inlineStr">
        <is>
          <t>n_fit</t>
        </is>
      </c>
      <c r="G1" s="9" t="inlineStr">
        <is>
          <t>n_uncensored</t>
        </is>
      </c>
      <c r="H1" s="9" t="inlineStr">
        <is>
          <t>n_censored</t>
        </is>
      </c>
      <c r="I1" s="9" t="inlineStr">
        <is>
          <t>max_observed</t>
        </is>
      </c>
      <c r="J1" s="9" t="inlineStr">
        <is>
          <t>n_ge</t>
        </is>
      </c>
      <c r="K1" s="9" t="inlineStr">
        <is>
          <t>expected_n</t>
        </is>
      </c>
      <c r="L1" s="9" t="inlineStr">
        <is>
          <t>s_empirical</t>
        </is>
      </c>
      <c r="M1" s="9" t="inlineStr">
        <is>
          <t>s_fitted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iterations</t>
        </is>
      </c>
      <c r="E1" s="9" t="inlineStr">
        <is>
          <t>lambda</t>
        </is>
      </c>
      <c r="F1" s="9" t="inlineStr">
        <is>
          <t>freq_dist</t>
        </is>
      </c>
      <c r="G1" s="9" t="inlineStr">
        <is>
          <t>phi</t>
        </is>
      </c>
      <c r="H1" s="9" t="inlineStr">
        <is>
          <t>u_fit</t>
        </is>
      </c>
      <c r="I1" s="9" t="inlineStr">
        <is>
          <t>alpha</t>
        </is>
      </c>
      <c r="J1" s="9" t="inlineStr">
        <is>
          <t>max_observed</t>
        </is>
      </c>
      <c r="K1" s="9" t="inlineStr">
        <is>
          <t>lives_q</t>
        </is>
      </c>
      <c r="L1" s="9" t="inlineStr">
        <is>
          <t>mean_recovery</t>
        </is>
      </c>
      <c r="M1" s="9" t="inlineStr">
        <is>
          <t>sd_recovery</t>
        </is>
      </c>
      <c r="N1" s="9" t="inlineStr">
        <is>
          <t>cov</t>
        </is>
      </c>
      <c r="O1" s="9" t="inlineStr">
        <is>
          <t>p_zero</t>
        </is>
      </c>
      <c r="P1" s="9" t="inlineStr">
        <is>
          <t>p50</t>
        </is>
      </c>
      <c r="Q1" s="9" t="inlineStr">
        <is>
          <t>p75</t>
        </is>
      </c>
      <c r="R1" s="9" t="inlineStr">
        <is>
          <t>p90</t>
        </is>
      </c>
      <c r="S1" s="9" t="inlineStr">
        <is>
          <t>p95</t>
        </is>
      </c>
      <c r="T1" s="9" t="inlineStr">
        <is>
          <t>p99</t>
        </is>
      </c>
      <c r="U1" s="9" t="inlineStr">
        <is>
          <t>p995</t>
        </is>
      </c>
      <c r="V1" s="9" t="inlineStr">
        <is>
          <t>max_recovery</t>
        </is>
      </c>
      <c r="W1" s="9" t="inlineStr">
        <is>
          <t>mean_below_max_observed</t>
        </is>
      </c>
      <c r="X1" s="9" t="inlineStr">
        <is>
          <t>mean_above_max_observed</t>
        </is>
      </c>
      <c r="Y1" s="9" t="inlineStr">
        <is>
          <t>mean_reinst_usage</t>
        </is>
      </c>
      <c r="Z1" s="9" t="inlineStr">
        <is>
          <t>expected_cost_det</t>
        </is>
      </c>
      <c r="AA1" s="9" t="inlineStr">
        <is>
          <t>credibility_z</t>
        </is>
      </c>
      <c r="AB1" s="9" t="inlineStr">
        <is>
          <t>det_to_stoch_below</t>
        </is>
      </c>
      <c r="AC1" s="9" t="inlineStr">
        <is>
          <t>expected_loss_blended</t>
        </is>
      </c>
      <c r="AD1" s="9" t="inlineStr">
        <is>
          <t>expected_loss_pppy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q</t>
        </is>
      </c>
      <c r="E1" s="9" t="inlineStr">
        <is>
          <t>recovery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event_key</t>
        </is>
      </c>
      <c r="B1" s="9" t="inlineStr">
        <is>
          <t>ev_src</t>
        </is>
      </c>
      <c r="C1" s="9" t="inlineStr">
        <is>
          <t>ty</t>
        </is>
      </c>
      <c r="D1" s="9" t="inlineStr">
        <is>
          <t>event_date</t>
        </is>
      </c>
      <c r="E1" s="9" t="inlineStr">
        <is>
          <t>n_lives</t>
        </is>
      </c>
      <c r="F1" s="9" t="inlineStr">
        <is>
          <t>scheme_id</t>
        </is>
      </c>
      <c r="G1" s="9" t="inlineStr">
        <is>
          <t>site</t>
        </is>
      </c>
      <c r="H1" s="9" t="inlineStr">
        <is>
          <t>cause_code</t>
        </is>
      </c>
      <c r="I1" s="9" t="inlineStr">
        <is>
          <t>loss_raw</t>
        </is>
      </c>
      <c r="J1" s="9" t="inlineStr">
        <is>
          <t>trend_f</t>
        </is>
      </c>
      <c r="K1" s="9" t="inlineStr">
        <is>
          <t>loss_adj</t>
        </is>
      </c>
      <c r="L1" s="9" t="inlineStr">
        <is>
          <t>loss_net_pp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ty</t>
        </is>
      </c>
      <c r="E1" s="9" t="inlineStr">
        <is>
          <t>exposure_ly_full</t>
        </is>
      </c>
      <c r="F1" s="9" t="inlineStr">
        <is>
          <t>n_events</t>
        </is>
      </c>
      <c r="G1" s="9" t="inlineStr">
        <is>
          <t>events_per_1000</t>
        </is>
      </c>
      <c r="H1" s="9" t="inlineStr">
        <is>
          <t>n_xl</t>
        </is>
      </c>
      <c r="I1" s="9" t="inlineStr">
        <is>
          <t>xl</t>
        </is>
      </c>
      <c r="J1" s="9" t="inlineStr">
        <is>
          <t>recovery</t>
        </is>
      </c>
      <c r="K1" s="9" t="inlineStr">
        <is>
          <t>xl_net</t>
        </is>
      </c>
      <c r="L1" s="9" t="inlineStr">
        <is>
          <t>recovery_net</t>
        </is>
      </c>
      <c r="M1" s="9" t="inlineStr">
        <is>
          <t>bc_pppy</t>
        </is>
      </c>
      <c r="N1" s="9" t="inlineStr">
        <is>
          <t>weight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n_events</t>
        </is>
      </c>
      <c r="E1" s="9" t="inlineStr">
        <is>
          <t>n_xl_events</t>
        </is>
      </c>
      <c r="F1" s="9" t="inlineStr">
        <is>
          <t>bc_pppy_weighted</t>
        </is>
      </c>
      <c r="G1" s="9" t="inlineStr">
        <is>
          <t>lives_quote_year</t>
        </is>
      </c>
      <c r="H1" s="9" t="inlineStr">
        <is>
          <t>expected_cost_det</t>
        </is>
      </c>
      <c r="I1" s="9" t="inlineStr">
        <is>
          <t>credibility_z</t>
        </is>
      </c>
      <c r="J1" s="9" t="inlineStr">
        <is>
          <t>lambda_exp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scenario_name</t>
        </is>
      </c>
      <c r="B1" s="9" t="inlineStr">
        <is>
          <t>lives</t>
        </is>
      </c>
      <c r="C1" s="9" t="inlineStr">
        <is>
          <t>cost_per_life</t>
        </is>
      </c>
      <c r="D1" s="9" t="inlineStr">
        <is>
          <t>return_period_yrs</t>
        </is>
      </c>
      <c r="E1" s="9" t="inlineStr">
        <is>
          <t>loss</t>
        </is>
      </c>
      <c r="F1" s="9" t="inlineStr">
        <is>
          <t>loss_net_pp</t>
        </is>
      </c>
      <c r="G1" s="9" t="inlineStr">
        <is>
          <t>option_id</t>
        </is>
      </c>
      <c r="H1" s="9" t="inlineStr">
        <is>
          <t>layer</t>
        </is>
      </c>
      <c r="I1" s="9" t="inlineStr">
        <is>
          <t>l_label</t>
        </is>
      </c>
      <c r="J1" s="9" t="inlineStr">
        <is>
          <t>layer_loss</t>
        </is>
      </c>
      <c r="K1" s="9" t="inlineStr">
        <is>
          <t>layer_loss_net_pp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6A6A6"/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iterations</t>
        </is>
      </c>
      <c r="E1" s="9" t="inlineStr">
        <is>
          <t>lambda_exp</t>
        </is>
      </c>
      <c r="F1" s="9" t="inlineStr">
        <is>
          <t>mean_events</t>
        </is>
      </c>
      <c r="G1" s="9" t="inlineStr">
        <is>
          <t>n_hist_events</t>
        </is>
      </c>
      <c r="H1" s="9" t="inlineStr">
        <is>
          <t>mean_recovery</t>
        </is>
      </c>
      <c r="I1" s="9" t="inlineStr">
        <is>
          <t>sd_recovery</t>
        </is>
      </c>
      <c r="J1" s="9" t="inlineStr">
        <is>
          <t>p_zero</t>
        </is>
      </c>
      <c r="K1" s="9" t="inlineStr">
        <is>
          <t>p50</t>
        </is>
      </c>
      <c r="L1" s="9" t="inlineStr">
        <is>
          <t>p90</t>
        </is>
      </c>
      <c r="M1" s="9" t="inlineStr">
        <is>
          <t>p95</t>
        </is>
      </c>
      <c r="N1" s="9" t="inlineStr">
        <is>
          <t>p99</t>
        </is>
      </c>
      <c r="O1" s="9" t="inlineStr">
        <is>
          <t>p995</t>
        </is>
      </c>
      <c r="P1" s="9" t="inlineStr">
        <is>
          <t>max_recovery</t>
        </is>
      </c>
      <c r="Q1" s="9" t="inlineStr">
        <is>
          <t>mean_reinst_usage</t>
        </is>
      </c>
      <c r="R1" s="9" t="inlineStr">
        <is>
          <t>mean_recovery_net_pp</t>
        </is>
      </c>
      <c r="S1" s="9" t="inlineStr">
        <is>
          <t>expected_cost_det</t>
        </is>
      </c>
      <c r="T1" s="9" t="inlineStr">
        <is>
          <t>credibility_z</t>
        </is>
      </c>
      <c r="U1" s="9" t="inlineStr">
        <is>
          <t>expected_loss_blended</t>
        </is>
      </c>
      <c r="V1" s="9" t="inlineStr">
        <is>
          <t>expected_loss_pppy</t>
        </is>
      </c>
      <c r="W1" s="9" t="inlineStr">
        <is>
          <t>lives_quote_year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A6A6A6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option_id</t>
        </is>
      </c>
      <c r="B1" s="9" t="inlineStr">
        <is>
          <t>layer</t>
        </is>
      </c>
      <c r="C1" s="9" t="inlineStr">
        <is>
          <t>l_label</t>
        </is>
      </c>
      <c r="D1" s="9" t="inlineStr">
        <is>
          <t>q</t>
        </is>
      </c>
      <c r="E1" s="9" t="inlineStr">
        <is>
          <t>recovery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A6A6A6"/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ty</t>
        </is>
      </c>
      <c r="B1" s="9" t="inlineStr">
        <is>
          <t>weight</t>
        </is>
      </c>
      <c r="C1" s="9" t="inlineStr">
        <is>
          <t>exposure_ly_full</t>
        </is>
      </c>
      <c r="D1" s="9" t="inlineStr">
        <is>
          <t>total_claims</t>
        </is>
      </c>
      <c r="E1" s="9" t="inlineStr">
        <is>
          <t>n_large</t>
        </is>
      </c>
      <c r="F1" s="9" t="inlineStr">
        <is>
          <t>large_claims_raw</t>
        </is>
      </c>
      <c r="G1" s="9" t="inlineStr">
        <is>
          <t>attritional_raw</t>
        </is>
      </c>
      <c r="H1" s="9" t="inlineStr">
        <is>
          <t>months_elapsed</t>
        </is>
      </c>
      <c r="I1" s="9" t="inlineStr">
        <is>
          <t>trend_f</t>
        </is>
      </c>
      <c r="J1" s="9" t="inlineStr">
        <is>
          <t>completion_f</t>
        </is>
      </c>
      <c r="K1" s="9" t="inlineStr">
        <is>
          <t>attritional_adj</t>
        </is>
      </c>
      <c r="L1" s="9" t="inlineStr">
        <is>
          <t>attritional_pppy</t>
        </is>
      </c>
      <c r="M1" s="9" t="inlineStr">
        <is>
          <t>t_sl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A6A6A6"/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t_sl</t>
        </is>
      </c>
      <c r="B1" s="9" t="inlineStr">
        <is>
          <t>u_fit</t>
        </is>
      </c>
      <c r="C1" s="9" t="inlineStr">
        <is>
          <t>n_years</t>
        </is>
      </c>
      <c r="D1" s="9" t="inlineStr">
        <is>
          <t>attritional_pppy_weighted</t>
        </is>
      </c>
      <c r="E1" s="9" t="inlineStr">
        <is>
          <t>attritional_pppy_mean</t>
        </is>
      </c>
      <c r="F1" s="9" t="inlineStr">
        <is>
          <t>cov_hist</t>
        </is>
      </c>
      <c r="G1" s="9" t="inlineStr">
        <is>
          <t>cov_used</t>
        </is>
      </c>
      <c r="H1" s="9" t="inlineStr">
        <is>
          <t>attritional_dist</t>
        </is>
      </c>
      <c r="I1" s="9" t="inlineStr">
        <is>
          <t>lives_quote_year</t>
        </is>
      </c>
      <c r="J1" s="9" t="inlineStr">
        <is>
          <t>reference_lives</t>
        </is>
      </c>
      <c r="K1" s="9" t="inlineStr">
        <is>
          <t>incidence_adj</t>
        </is>
      </c>
      <c r="L1" s="9" t="inlineStr">
        <is>
          <t>attritional_mean_q</t>
        </is>
      </c>
      <c r="M1" s="9" t="inlineStr">
        <is>
          <t>m_ln</t>
        </is>
      </c>
      <c r="N1" s="9" t="inlineStr">
        <is>
          <t>sigma_ln</t>
        </is>
      </c>
      <c r="O1" s="9" t="inlineStr">
        <is>
          <t>iterations</t>
        </is>
      </c>
      <c r="P1" s="9" t="inlineStr">
        <is>
          <t>mean_attritional_sim</t>
        </is>
      </c>
      <c r="Q1" s="9" t="inlineStr">
        <is>
          <t>mean_large_sim</t>
        </is>
      </c>
      <c r="R1" s="9" t="inlineStr">
        <is>
          <t>mean_gross</t>
        </is>
      </c>
      <c r="S1" s="9" t="inlineStr">
        <is>
          <t>sd_gross</t>
        </is>
      </c>
      <c r="T1" s="9" t="inlineStr">
        <is>
          <t>budget</t>
        </is>
      </c>
      <c r="U1" s="9" t="inlineStr">
        <is>
          <t>budget_source</t>
        </is>
      </c>
      <c r="V1" s="9" t="inlineStr">
        <is>
          <t>epi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A6A6A6"/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struct_key</t>
        </is>
      </c>
      <c r="B1" s="9" t="inlineStr">
        <is>
          <t>cover</t>
        </is>
      </c>
      <c r="C1" s="9" t="inlineStr">
        <is>
          <t>option_id</t>
        </is>
      </c>
      <c r="D1" s="9" t="inlineStr">
        <is>
          <t>pp_option</t>
        </is>
      </c>
      <c r="E1" s="9" t="inlineStr">
        <is>
          <t>ev_option</t>
        </is>
      </c>
      <c r="F1" s="9" t="inlineStr">
        <is>
          <t>sl_option</t>
        </is>
      </c>
      <c r="G1" s="9" t="inlineStr">
        <is>
          <t>l_label</t>
        </is>
      </c>
      <c r="H1" s="9" t="inlineStr">
        <is>
          <t>iterations</t>
        </is>
      </c>
      <c r="I1" s="9" t="inlineStr">
        <is>
          <t>mean_gross</t>
        </is>
      </c>
      <c r="J1" s="9" t="inlineStr">
        <is>
          <t>mean_recovery</t>
        </is>
      </c>
      <c r="K1" s="9" t="inlineStr">
        <is>
          <t>sd_recovery</t>
        </is>
      </c>
      <c r="L1" s="9" t="inlineStr">
        <is>
          <t>p_zero</t>
        </is>
      </c>
      <c r="M1" s="9" t="inlineStr">
        <is>
          <t>mean_recovery_total</t>
        </is>
      </c>
      <c r="N1" s="9" t="inlineStr">
        <is>
          <t>mean_net</t>
        </is>
      </c>
      <c r="O1" s="9" t="inlineStr">
        <is>
          <t>sd_net</t>
        </is>
      </c>
      <c r="P1" s="9" t="inlineStr">
        <is>
          <t>mean_ru_l1</t>
        </is>
      </c>
      <c r="Q1" s="9" t="inlineStr">
        <is>
          <t>mean_ru_l2</t>
        </is>
      </c>
      <c r="R1" s="9" t="inlineStr">
        <is>
          <t>mean_ru_ev1</t>
        </is>
      </c>
      <c r="S1" s="9" t="inlineStr">
        <is>
          <t>mean_ru_ev2</t>
        </is>
      </c>
      <c r="T1" s="9" t="inlineStr">
        <is>
          <t>sl_basis</t>
        </is>
      </c>
      <c r="U1" s="9" t="inlineStr">
        <is>
          <t>sl_measure</t>
        </is>
      </c>
      <c r="V1" s="9" t="inlineStr">
        <is>
          <t>sl_ap</t>
        </is>
      </c>
      <c r="W1" s="9" t="inlineStr">
        <is>
          <t>sl_limit</t>
        </is>
      </c>
      <c r="X1" s="9" t="inlineStr">
        <is>
          <t>ap_amount</t>
        </is>
      </c>
      <c r="Y1" s="9" t="inlineStr">
        <is>
          <t>limit_amount</t>
        </is>
      </c>
      <c r="Z1" s="9" t="inlineStr">
        <is>
          <t>ap_pct_budget</t>
        </is>
      </c>
      <c r="AA1" s="9" t="inlineStr">
        <is>
          <t>limit_pct_budget</t>
        </is>
      </c>
      <c r="AB1" s="9" t="inlineStr">
        <is>
          <t>ap_pct_epi</t>
        </is>
      </c>
      <c r="AC1" s="9" t="inlineStr">
        <is>
          <t>limit_pct_epi</t>
        </is>
      </c>
      <c r="AD1" s="9" t="inlineStr">
        <is>
          <t>budget</t>
        </is>
      </c>
      <c r="AE1" s="9" t="inlineStr">
        <is>
          <t>epi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struct_key</t>
        </is>
      </c>
      <c r="B1" s="9" t="inlineStr">
        <is>
          <t>cover</t>
        </is>
      </c>
      <c r="C1" s="9" t="inlineStr">
        <is>
          <t>option_id</t>
        </is>
      </c>
      <c r="D1" s="9" t="inlineStr">
        <is>
          <t>pp_option</t>
        </is>
      </c>
      <c r="E1" s="9" t="inlineStr">
        <is>
          <t>ev_option</t>
        </is>
      </c>
      <c r="F1" s="9" t="inlineStr">
        <is>
          <t>sl_option</t>
        </is>
      </c>
      <c r="G1" s="9" t="inlineStr">
        <is>
          <t>l_label</t>
        </is>
      </c>
      <c r="H1" s="9" t="inlineStr">
        <is>
          <t>q</t>
        </is>
      </c>
      <c r="I1" s="9" t="inlineStr">
        <is>
          <t>qm</t>
        </is>
      </c>
      <c r="J1" s="9" t="inlineStr">
        <is>
          <t>net_claims</t>
        </is>
      </c>
      <c r="K1" s="9" t="inlineStr">
        <is>
          <t>ru_l1_at_q</t>
        </is>
      </c>
      <c r="L1" s="9" t="inlineStr">
        <is>
          <t>ru_l2_at_q</t>
        </is>
      </c>
      <c r="M1" s="9" t="inlineStr">
        <is>
          <t>ru_ev1_at_q</t>
        </is>
      </c>
      <c r="N1" s="9" t="inlineStr">
        <is>
          <t>ru_ev2_at_q</t>
        </is>
      </c>
      <c r="O1" s="9" t="inlineStr">
        <is>
          <t>recovery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A6A6A6"/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cover</t>
        </is>
      </c>
      <c r="B1" s="9" t="inlineStr">
        <is>
          <t>option_id</t>
        </is>
      </c>
      <c r="C1" s="9" t="inlineStr">
        <is>
          <t>layer</t>
        </is>
      </c>
      <c r="D1" s="9" t="inlineStr">
        <is>
          <t>l_label</t>
        </is>
      </c>
      <c r="E1" s="9" t="inlineStr">
        <is>
          <t>ap</t>
        </is>
      </c>
      <c r="F1" s="9" t="inlineStr">
        <is>
          <t>share_exposed</t>
        </is>
      </c>
      <c r="G1" s="9" t="inlineStr">
        <is>
          <t>exposed_lives</t>
        </is>
      </c>
      <c r="H1" s="9" t="inlineStr">
        <is>
          <t>lives_quote_year</t>
        </is>
      </c>
      <c r="I1" s="9" t="inlineStr">
        <is>
          <t>reference_lives</t>
        </is>
      </c>
      <c r="J1" s="9" t="inlineStr">
        <is>
          <t>basis_note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A6A6A6"/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cover</t>
        </is>
      </c>
      <c r="B1" s="9" t="inlineStr">
        <is>
          <t>layer</t>
        </is>
      </c>
      <c r="C1" s="9" t="inlineStr">
        <is>
          <t>ap</t>
        </is>
      </c>
      <c r="D1" s="9" t="inlineStr">
        <is>
          <t>limit</t>
        </is>
      </c>
      <c r="E1" s="9" t="inlineStr">
        <is>
          <t>rate_basis</t>
        </is>
      </c>
      <c r="F1" s="9" t="inlineStr">
        <is>
          <t>rate</t>
        </is>
      </c>
      <c r="G1" s="9" t="inlineStr">
        <is>
          <t>premium</t>
        </is>
      </c>
      <c r="H1" s="9" t="inlineStr">
        <is>
          <t>matched_option</t>
        </is>
      </c>
      <c r="I1" s="9" t="inlineStr">
        <is>
          <t>lev_trend_used</t>
        </is>
      </c>
      <c r="J1" s="9" t="inlineStr">
        <is>
          <t>lives_quote_year</t>
        </is>
      </c>
      <c r="K1" s="9" t="inlineStr">
        <is>
          <t>epi</t>
        </is>
      </c>
      <c r="L1" s="9" t="inlineStr">
        <is>
          <t>expiring_premium_q</t>
        </is>
      </c>
      <c r="M1" s="9" t="inlineStr">
        <is>
          <t>expiring_premium_trended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A6A6A6"/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cover</t>
        </is>
      </c>
      <c r="B1" s="9" t="inlineStr">
        <is>
          <t>layer</t>
        </is>
      </c>
      <c r="C1" s="9" t="inlineStr">
        <is>
          <t>matched_option</t>
        </is>
      </c>
      <c r="D1" s="9" t="inlineStr">
        <is>
          <t>ty</t>
        </is>
      </c>
      <c r="E1" s="9" t="inlineStr">
        <is>
          <t>exposure_ly_full</t>
        </is>
      </c>
      <c r="F1" s="9" t="inlineStr">
        <is>
          <t>exposure_prem_full</t>
        </is>
      </c>
      <c r="G1" s="9" t="inlineStr">
        <is>
          <t>asif_recovery</t>
        </is>
      </c>
      <c r="H1" s="9" t="inlineStr">
        <is>
          <t>asif_premium</t>
        </is>
      </c>
      <c r="I1" s="9" t="inlineStr">
        <is>
          <t>premium_year_level</t>
        </is>
      </c>
      <c r="J1" s="9" t="inlineStr">
        <is>
          <t>actual_recovery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A6A6A6"/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scenario_id</t>
        </is>
      </c>
      <c r="B1" s="9" t="inlineStr">
        <is>
          <t>scenario_name</t>
        </is>
      </c>
      <c r="C1" s="9" t="inlineStr">
        <is>
          <t>run_at</t>
        </is>
      </c>
      <c r="D1" s="9" t="inlineStr">
        <is>
          <t>struct_key</t>
        </is>
      </c>
      <c r="E1" s="9" t="inlineStr">
        <is>
          <t>l_label</t>
        </is>
      </c>
      <c r="F1" s="9" t="inlineStr">
        <is>
          <t>budget</t>
        </is>
      </c>
      <c r="G1" s="9" t="inlineStr">
        <is>
          <t>mean_recovery</t>
        </is>
      </c>
      <c r="H1" s="9" t="inlineStr">
        <is>
          <t>sd_recovery</t>
        </is>
      </c>
      <c r="I1" s="9" t="inlineStr">
        <is>
          <t>mean_net</t>
        </is>
      </c>
      <c r="J1" s="9" t="inlineStr">
        <is>
          <t>sd_net</t>
        </is>
      </c>
      <c r="K1" s="9" t="inlineStr">
        <is>
          <t>expected_loss_blended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